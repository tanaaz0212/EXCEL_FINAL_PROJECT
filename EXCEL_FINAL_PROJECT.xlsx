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tanaa\Desktop\"/>
    </mc:Choice>
  </mc:AlternateContent>
  <xr:revisionPtr revIDLastSave="0" documentId="13_ncr:1_{97618024-35AD-4028-A17F-ACC5C186A5C3}" xr6:coauthVersionLast="47" xr6:coauthVersionMax="47" xr10:uidLastSave="{00000000-0000-0000-0000-000000000000}"/>
  <bookViews>
    <workbookView xWindow="-108" yWindow="-108" windowWidth="23256" windowHeight="13896" activeTab="1" xr2:uid="{01B53981-8D38-43B4-88AA-CEA224597048}"/>
  </bookViews>
  <sheets>
    <sheet name="Project_Instructions" sheetId="1" r:id="rId1"/>
    <sheet name="DASHBOARD" sheetId="14" r:id="rId2"/>
    <sheet name="Final_Project_Dataset" sheetId="3" r:id="rId3"/>
    <sheet name="sheet1" sheetId="5" r:id="rId4"/>
    <sheet name="linear_regression" sheetId="6" r:id="rId5"/>
    <sheet name="Sheet4" sheetId="4" r:id="rId6"/>
    <sheet name="TOP_5_CUSTOMER" sheetId="7" r:id="rId7"/>
    <sheet name="OBJECTIVE1" sheetId="9" r:id="rId8"/>
    <sheet name="OBJECTIVE2" sheetId="10" r:id="rId9"/>
    <sheet name="OBHECTIVE3" sheetId="11" r:id="rId10"/>
    <sheet name="OBJECTIVE4" sheetId="12" r:id="rId11"/>
    <sheet name="OBJECTIVE5" sheetId="13" r:id="rId12"/>
  </sheets>
  <definedNames>
    <definedName name="Slicer_Category">#N/A</definedName>
    <definedName name="Slicer_Months__Date">#N/A</definedName>
    <definedName name="Slicer_Region">#N/A</definedName>
  </definedNames>
  <calcPr calcId="191029"/>
  <pivotCaches>
    <pivotCache cacheId="2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14" l="1"/>
  <c r="F4" i="7"/>
  <c r="F5" i="7"/>
  <c r="F6" i="7"/>
  <c r="F7" i="7"/>
  <c r="F3" i="7"/>
  <c r="E4" i="7"/>
  <c r="E5" i="7"/>
  <c r="E6" i="7"/>
  <c r="E7" i="7"/>
  <c r="E3" i="7"/>
  <c r="B2" i="7" a="1"/>
  <c r="B2" i="7" s="1"/>
  <c r="A2" i="7" a="1"/>
  <c r="A2" i="7" s="1"/>
  <c r="K2" i="4"/>
  <c r="J2" i="4" l="1" a="1"/>
  <c r="J2" i="4" s="1"/>
  <c r="F8" i="4" a="1"/>
  <c r="F8" i="4" s="1"/>
  <c r="G2" i="4"/>
  <c r="D2" i="4" a="1"/>
  <c r="D2" i="4" s="1"/>
  <c r="C2" i="4" s="1"/>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 i="4"/>
  <c r="A2" i="4" a="1"/>
  <c r="A2" i="4" s="1"/>
  <c r="C24" i="4" l="1"/>
  <c r="C47" i="4"/>
  <c r="C35" i="4"/>
  <c r="C11" i="4"/>
  <c r="C46" i="4"/>
  <c r="C22" i="4"/>
  <c r="C33" i="4"/>
  <c r="C21" i="4"/>
  <c r="C32" i="4"/>
  <c r="C8" i="4"/>
  <c r="C31" i="4"/>
  <c r="C19" i="4"/>
  <c r="C18" i="4"/>
  <c r="C28" i="4"/>
  <c r="C4" i="4"/>
  <c r="C51" i="4"/>
  <c r="C39" i="4"/>
  <c r="C27" i="4"/>
  <c r="C15" i="4"/>
  <c r="C3" i="4"/>
  <c r="C29" i="4"/>
  <c r="C5" i="4"/>
  <c r="C40" i="4"/>
  <c r="C16" i="4"/>
  <c r="C50" i="4"/>
  <c r="C38" i="4"/>
  <c r="C26" i="4"/>
  <c r="C14" i="4"/>
  <c r="C48" i="4"/>
  <c r="C36" i="4"/>
  <c r="C23" i="4"/>
  <c r="C34" i="4"/>
  <c r="C10" i="4"/>
  <c r="C45" i="4"/>
  <c r="C9" i="4"/>
  <c r="C44" i="4"/>
  <c r="C20" i="4"/>
  <c r="C43" i="4"/>
  <c r="C7" i="4"/>
  <c r="C42" i="4"/>
  <c r="C30" i="4"/>
  <c r="C6" i="4"/>
  <c r="C41" i="4"/>
  <c r="C17" i="4"/>
  <c r="C49" i="4"/>
  <c r="C37" i="4"/>
  <c r="C25" i="4"/>
  <c r="C13" i="4"/>
  <c r="C12"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<sst xmlns="http://schemas.openxmlformats.org/spreadsheetml/2006/main" count="2393" uniqueCount="497">
  <si>
    <r>
      <t xml:space="preserve">Dataset: </t>
    </r>
    <r>
      <rPr>
        <sz val="11"/>
        <color theme="1"/>
        <rFont val="Calibri"/>
        <family val="2"/>
      </rPr>
      <t>Use the 'Final Project Dataset' sheet containing 200+ records of customer transactions.</t>
    </r>
  </si>
  <si>
    <t xml:space="preserve">Objective: </t>
  </si>
  <si>
    <t>Create a full-fledged analysis and reporting solution using Excel to analyze customer transactions, find insights,</t>
  </si>
  <si>
    <t>and build visualizations and dashboards.</t>
  </si>
  <si>
    <t>Key Topics to Implement:</t>
  </si>
  <si>
    <t>- Date &amp; Time Functions: TODAY, NOW, DATEDIF, EOMONTH</t>
  </si>
  <si>
    <t>- FILTER Function for multi-value returns</t>
  </si>
  <si>
    <t>- Conditional Formatting with Icons/Arrows</t>
  </si>
  <si>
    <t>- Create Timestamp (using NOW and iterative calculations)</t>
  </si>
  <si>
    <t>- WHAT-IF Analysis: Scenario Manager, Goal Seek</t>
  </si>
  <si>
    <t>- Linear Regression using Data Analysis Toolpak</t>
  </si>
  <si>
    <t>- Data Analysis &amp; Storytelling from the dataset</t>
  </si>
  <si>
    <t>- Use GroupBy concepts to find High-Value Customers using formulas</t>
  </si>
  <si>
    <t>- Create Dashboard using:</t>
  </si>
  <si>
    <t>- Pivot Tables</t>
  </si>
  <si>
    <t>- Pivot Charts (Bar, Line, Pie)</t>
  </si>
  <si>
    <t>- Slicers and Timelines</t>
  </si>
  <si>
    <t>- KPI Indicators with Conditional Formatting</t>
  </si>
  <si>
    <t>- Find most frequently purchased product or repeating names using formulas</t>
  </si>
  <si>
    <t>- Compare two lists and extract matching names in a new column</t>
  </si>
  <si>
    <t>- Create Abbreviations using TEXT functions</t>
  </si>
  <si>
    <t>- Build a final report with insights and storytelling</t>
  </si>
  <si>
    <t>Deliverable:</t>
  </si>
  <si>
    <t>- Well-structured workbook with multiple sheets (Raw Data, Analysis, Visualizations, Dashboard)</t>
  </si>
  <si>
    <t>- Summary Insights with key metrics: Total Revenue, Top Customers, Most Sold Products, Regional Sales</t>
  </si>
  <si>
    <t>- Use of all required formulas and functions as listed above</t>
  </si>
  <si>
    <t>Date</t>
  </si>
  <si>
    <t>Customer_ID</t>
  </si>
  <si>
    <t>Customer_Name</t>
  </si>
  <si>
    <t>Product_ID</t>
  </si>
  <si>
    <t>Product_Name</t>
  </si>
  <si>
    <t>Category</t>
  </si>
  <si>
    <t>Quantity</t>
  </si>
  <si>
    <t>Unit_Price</t>
  </si>
  <si>
    <t>Payment_Method</t>
  </si>
  <si>
    <t>Region</t>
  </si>
  <si>
    <t>Customer_Segment</t>
  </si>
  <si>
    <t>Customer_Since</t>
  </si>
  <si>
    <t>Total_Amount</t>
  </si>
  <si>
    <t>CUST023</t>
  </si>
  <si>
    <t>Paul Baker</t>
  </si>
  <si>
    <t>P009</t>
  </si>
  <si>
    <t>Monitor</t>
  </si>
  <si>
    <t>Electronics</t>
  </si>
  <si>
    <t>Cash</t>
  </si>
  <si>
    <t>Central</t>
  </si>
  <si>
    <t>Basic</t>
  </si>
  <si>
    <t>CUST013</t>
  </si>
  <si>
    <t>Joseph Jackson</t>
  </si>
  <si>
    <t>Credit Card</t>
  </si>
  <si>
    <t>Premium</t>
  </si>
  <si>
    <t>CUST021</t>
  </si>
  <si>
    <t>Kevin Scott</t>
  </si>
  <si>
    <t>P005</t>
  </si>
  <si>
    <t>Blender</t>
  </si>
  <si>
    <t>Appliances</t>
  </si>
  <si>
    <t>PayPal</t>
  </si>
  <si>
    <t>South</t>
  </si>
  <si>
    <t>Standard</t>
  </si>
  <si>
    <t>CUST046</t>
  </si>
  <si>
    <t>Kathleen Bennett</t>
  </si>
  <si>
    <t>North</t>
  </si>
  <si>
    <t>CUST003</t>
  </si>
  <si>
    <t>Michael Brown</t>
  </si>
  <si>
    <t>P008</t>
  </si>
  <si>
    <t>Bookshelf</t>
  </si>
  <si>
    <t>Furniture</t>
  </si>
  <si>
    <t>CUST024</t>
  </si>
  <si>
    <t>Dorothy Nelson</t>
  </si>
  <si>
    <t>West</t>
  </si>
  <si>
    <t>P003</t>
  </si>
  <si>
    <t>Headphones</t>
  </si>
  <si>
    <t>CUST017</t>
  </si>
  <si>
    <t>Charles Allen</t>
  </si>
  <si>
    <t>Debit Card</t>
  </si>
  <si>
    <t>CUST009</t>
  </si>
  <si>
    <t>Robert Thomas</t>
  </si>
  <si>
    <t>P001</t>
  </si>
  <si>
    <t>Laptop</t>
  </si>
  <si>
    <t>East</t>
  </si>
  <si>
    <t>CUST026</t>
  </si>
  <si>
    <t>Karen Hill</t>
  </si>
  <si>
    <t>CUST022</t>
  </si>
  <si>
    <t>Susan Green</t>
  </si>
  <si>
    <t>CUST041</t>
  </si>
  <si>
    <t>Peter Richardson</t>
  </si>
  <si>
    <t>CUST043</t>
  </si>
  <si>
    <t>Dennis Gray</t>
  </si>
  <si>
    <t>CUST038</t>
  </si>
  <si>
    <t>Michelle Rogers</t>
  </si>
  <si>
    <t>P002</t>
  </si>
  <si>
    <t>Smartphone</t>
  </si>
  <si>
    <t>CUST027</t>
  </si>
  <si>
    <t>George Adams</t>
  </si>
  <si>
    <t>CUST025</t>
  </si>
  <si>
    <t>Mark Carter</t>
  </si>
  <si>
    <t>CUST010</t>
  </si>
  <si>
    <t>Maria Garcia</t>
  </si>
  <si>
    <t>CUST048</t>
  </si>
  <si>
    <t>Virginia Sanders</t>
  </si>
  <si>
    <t>CUST018</t>
  </si>
  <si>
    <t>Barbara Young</t>
  </si>
  <si>
    <t>CUST012</t>
  </si>
  <si>
    <t>Patricia Moore</t>
  </si>
  <si>
    <t>CUST044</t>
  </si>
  <si>
    <t>Cynthia Price</t>
  </si>
  <si>
    <t>P007</t>
  </si>
  <si>
    <t>Desk</t>
  </si>
  <si>
    <t>CUST036</t>
  </si>
  <si>
    <t>Nancy Collins</t>
  </si>
  <si>
    <t>CUST014</t>
  </si>
  <si>
    <t>Linda Martin</t>
  </si>
  <si>
    <t>P004</t>
  </si>
  <si>
    <t>Coffee Maker</t>
  </si>
  <si>
    <t>P010</t>
  </si>
  <si>
    <t>Keyboard</t>
  </si>
  <si>
    <t>CUST030</t>
  </si>
  <si>
    <t>Helen Roberts</t>
  </si>
  <si>
    <t>CUST029</t>
  </si>
  <si>
    <t>Edward Mitchell</t>
  </si>
  <si>
    <t>P006</t>
  </si>
  <si>
    <t>Office Chair</t>
  </si>
  <si>
    <t>CUST006</t>
  </si>
  <si>
    <t>Lisa Anderson</t>
  </si>
  <si>
    <t>CUST002</t>
  </si>
  <si>
    <t>Emma Wilson</t>
  </si>
  <si>
    <t>CUST031</t>
  </si>
  <si>
    <t>Steven Turner</t>
  </si>
  <si>
    <t>CUST008</t>
  </si>
  <si>
    <t>Jennifer Taylor</t>
  </si>
  <si>
    <t>CUST035</t>
  </si>
  <si>
    <t>Harry Morgan</t>
  </si>
  <si>
    <t>CUST019</t>
  </si>
  <si>
    <t>Daniel King</t>
  </si>
  <si>
    <t>CUST040</t>
  </si>
  <si>
    <t>Sharon Butler</t>
  </si>
  <si>
    <t>CUST004</t>
  </si>
  <si>
    <t>Sarah Davis</t>
  </si>
  <si>
    <t>CUST028</t>
  </si>
  <si>
    <t>Betty Campbell</t>
  </si>
  <si>
    <t>CUST050</t>
  </si>
  <si>
    <t>Julie Foster</t>
  </si>
  <si>
    <t>CUST049</t>
  </si>
  <si>
    <t>Raymond Ross</t>
  </si>
  <si>
    <t>CUST007</t>
  </si>
  <si>
    <t>David Martinez</t>
  </si>
  <si>
    <t>CUST020</t>
  </si>
  <si>
    <t>Margaret Wright</t>
  </si>
  <si>
    <t>CUST033</t>
  </si>
  <si>
    <t>Frank Torres</t>
  </si>
  <si>
    <t>CUST047</t>
  </si>
  <si>
    <t>Gerald Murphy</t>
  </si>
  <si>
    <t>CUST016</t>
  </si>
  <si>
    <t>Elizabeth Hall</t>
  </si>
  <si>
    <t>CUST039</t>
  </si>
  <si>
    <t>Lawrence Reed</t>
  </si>
  <si>
    <t>CUST034</t>
  </si>
  <si>
    <t>Carol Evans</t>
  </si>
  <si>
    <t>CUST032</t>
  </si>
  <si>
    <t>Sandra Phillips</t>
  </si>
  <si>
    <t>CUST042</t>
  </si>
  <si>
    <t>Ruth Brooks</t>
  </si>
  <si>
    <t>CUST011</t>
  </si>
  <si>
    <t>William White</t>
  </si>
  <si>
    <t>CUST015</t>
  </si>
  <si>
    <t>Richard Lee</t>
  </si>
  <si>
    <t>CUST045</t>
  </si>
  <si>
    <t>Douglas Watson</t>
  </si>
  <si>
    <t>CUST005</t>
  </si>
  <si>
    <t>James Johnson</t>
  </si>
  <si>
    <t>CUST037</t>
  </si>
  <si>
    <t>Arthur Edwards</t>
  </si>
  <si>
    <t>CUST001</t>
  </si>
  <si>
    <t>John Smith</t>
  </si>
  <si>
    <t>Transaction_ID</t>
  </si>
  <si>
    <t>TRX0155</t>
  </si>
  <si>
    <t>TRX0023</t>
  </si>
  <si>
    <t>TRX0139</t>
  </si>
  <si>
    <t>TRX0043</t>
  </si>
  <si>
    <t>TRX0212</t>
  </si>
  <si>
    <t>TRX0092</t>
  </si>
  <si>
    <t>TRX0193</t>
  </si>
  <si>
    <t>TRX0240</t>
  </si>
  <si>
    <t>TRX0135</t>
  </si>
  <si>
    <t>TRX0185</t>
  </si>
  <si>
    <t>TRX0138</t>
  </si>
  <si>
    <t>TRX0209</t>
  </si>
  <si>
    <t>TRX0246</t>
  </si>
  <si>
    <t>TRX0067</t>
  </si>
  <si>
    <t>TRX0191</t>
  </si>
  <si>
    <t>TRX0230</t>
  </si>
  <si>
    <t>TRX0049</t>
  </si>
  <si>
    <t>TRX0134</t>
  </si>
  <si>
    <t>TRX0122</t>
  </si>
  <si>
    <t>TRX0222</t>
  </si>
  <si>
    <t>TRX0231</t>
  </si>
  <si>
    <t>TRX0239</t>
  </si>
  <si>
    <t>TRX0204</t>
  </si>
  <si>
    <t>TRX0242</t>
  </si>
  <si>
    <t>TRX0071</t>
  </si>
  <si>
    <t>TRX0040</t>
  </si>
  <si>
    <t>TRX0235</t>
  </si>
  <si>
    <t>TRX0004</t>
  </si>
  <si>
    <t>TRX0063</t>
  </si>
  <si>
    <t>TRX0241</t>
  </si>
  <si>
    <t>TRX0029</t>
  </si>
  <si>
    <t>TRX0194</t>
  </si>
  <si>
    <t>TRX0130</t>
  </si>
  <si>
    <t>TRX0041</t>
  </si>
  <si>
    <t>TRX0232</t>
  </si>
  <si>
    <t>TRX0021</t>
  </si>
  <si>
    <t>TRX0245</t>
  </si>
  <si>
    <t>TRX0015</t>
  </si>
  <si>
    <t>TRX0202</t>
  </si>
  <si>
    <t>TRX0042</t>
  </si>
  <si>
    <t>TRX0128</t>
  </si>
  <si>
    <t>TRX0117</t>
  </si>
  <si>
    <t>TRX0208</t>
  </si>
  <si>
    <t>TRX0234</t>
  </si>
  <si>
    <t>TRX0121</t>
  </si>
  <si>
    <t>TRX0220</t>
  </si>
  <si>
    <t>TRX0093</t>
  </si>
  <si>
    <t>TRX0088</t>
  </si>
  <si>
    <t>TRX0115</t>
  </si>
  <si>
    <t>TRX0154</t>
  </si>
  <si>
    <t>TRX0044</t>
  </si>
  <si>
    <t>TRX0061</t>
  </si>
  <si>
    <t>TRX0150</t>
  </si>
  <si>
    <t>TRX0025</t>
  </si>
  <si>
    <t>TRX0078</t>
  </si>
  <si>
    <t>TRX0007</t>
  </si>
  <si>
    <t>TRX0184</t>
  </si>
  <si>
    <t>TRX0104</t>
  </si>
  <si>
    <t>TRX0127</t>
  </si>
  <si>
    <t>TRX0096</t>
  </si>
  <si>
    <t>TRX0192</t>
  </si>
  <si>
    <t>TRX0052</t>
  </si>
  <si>
    <t>TRX0070</t>
  </si>
  <si>
    <t>TRX0086</t>
  </si>
  <si>
    <t>TRX0113</t>
  </si>
  <si>
    <t>TRX0114</t>
  </si>
  <si>
    <t>TRX0136</t>
  </si>
  <si>
    <t>TRX0018</t>
  </si>
  <si>
    <t>TRX0141</t>
  </si>
  <si>
    <t>TRX0097</t>
  </si>
  <si>
    <t>TRX0169</t>
  </si>
  <si>
    <t>TRX0216</t>
  </si>
  <si>
    <t>TRX0131</t>
  </si>
  <si>
    <t>TRX0162</t>
  </si>
  <si>
    <t>TRX0244</t>
  </si>
  <si>
    <t>TRX0006</t>
  </si>
  <si>
    <t>TRX0215</t>
  </si>
  <si>
    <t>TRX0080</t>
  </si>
  <si>
    <t>TRX0228</t>
  </si>
  <si>
    <t>TRX0157</t>
  </si>
  <si>
    <t>TRX0002</t>
  </si>
  <si>
    <t>TRX0217</t>
  </si>
  <si>
    <t>TRX0249</t>
  </si>
  <si>
    <t>TRX0065</t>
  </si>
  <si>
    <t>TRX0176</t>
  </si>
  <si>
    <t>TRX0101</t>
  </si>
  <si>
    <t>TRX0205</t>
  </si>
  <si>
    <t>TRX0020</t>
  </si>
  <si>
    <t>TRX0075</t>
  </si>
  <si>
    <t>TRX0098</t>
  </si>
  <si>
    <t>TRX0247</t>
  </si>
  <si>
    <t>TRX0027</t>
  </si>
  <si>
    <t>TRX0140</t>
  </si>
  <si>
    <t>TRX0132</t>
  </si>
  <si>
    <t>TRX0031</t>
  </si>
  <si>
    <t>TRX0236</t>
  </si>
  <si>
    <t>TRX0001</t>
  </si>
  <si>
    <t>TRX0037</t>
  </si>
  <si>
    <t>TRX0058</t>
  </si>
  <si>
    <t>TRX0170</t>
  </si>
  <si>
    <t>TRX0248</t>
  </si>
  <si>
    <t>TRX0099</t>
  </si>
  <si>
    <t>TRX0074</t>
  </si>
  <si>
    <t>TRX0225</t>
  </si>
  <si>
    <t>TRX0100</t>
  </si>
  <si>
    <t>TRX0142</t>
  </si>
  <si>
    <t>TRX0112</t>
  </si>
  <si>
    <t>TRX0161</t>
  </si>
  <si>
    <t>TRX0108</t>
  </si>
  <si>
    <t>TRX0211</t>
  </si>
  <si>
    <t>TRX0005</t>
  </si>
  <si>
    <t>TRX0195</t>
  </si>
  <si>
    <t>TRX0054</t>
  </si>
  <si>
    <t>TRX0077</t>
  </si>
  <si>
    <t>TRX0111</t>
  </si>
  <si>
    <t>TRX0123</t>
  </si>
  <si>
    <t>TRX0177</t>
  </si>
  <si>
    <t>TRX0119</t>
  </si>
  <si>
    <t>TRX0181</t>
  </si>
  <si>
    <t>TRX0129</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</si>
  <si>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</si>
  <si>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</si>
  <si>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</si>
  <si>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</si>
  <si>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</si>
  <si>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</si>
  <si>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</si>
  <si>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</si>
  <si>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</si>
  <si>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</si>
  <si>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</si>
  <si>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</si>
  <si>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</si>
  <si>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</si>
  <si>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</si>
  <si>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</si>
  <si>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</si>
  <si>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</si>
  <si>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</si>
  <si>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</si>
  <si>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</si>
  <si>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</si>
  <si>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</si>
  <si>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</si>
  <si>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</si>
  <si>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</si>
  <si>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</si>
  <si>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</si>
  <si>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</si>
  <si>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</si>
  <si>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</si>
  <si>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</si>
  <si>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TRX0206</t>
  </si>
  <si>
    <t>TRX0045</t>
  </si>
  <si>
    <t>TRX0094</t>
  </si>
  <si>
    <t>TRX0133</t>
  </si>
  <si>
    <t>TRX0201</t>
  </si>
  <si>
    <t>TRX0137</t>
  </si>
  <si>
    <t>TRX0066</t>
  </si>
  <si>
    <t>TRX0180</t>
  </si>
  <si>
    <t>TRX0082</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</si>
  <si>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</si>
  <si>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</si>
  <si>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</si>
  <si>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</si>
  <si>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</si>
  <si>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</si>
  <si>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</si>
  <si>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</si>
  <si>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</si>
  <si>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</si>
  <si>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</si>
  <si>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</si>
  <si>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</si>
  <si>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</si>
  <si>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</si>
  <si>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</si>
  <si>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</si>
  <si>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</si>
  <si>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</si>
  <si>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</si>
  <si>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</si>
  <si>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</si>
  <si>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</si>
  <si>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</si>
  <si>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</si>
  <si>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</si>
  <si>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</si>
  <si>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</si>
  <si>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</si>
  <si>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</si>
  <si>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</si>
  <si>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</si>
  <si>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</si>
  <si>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</si>
  <si>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</si>
  <si>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</si>
  <si>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</si>
  <si>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</si>
  <si>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</si>
  <si>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</si>
  <si>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</si>
  <si>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</si>
  <si>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</si>
  <si>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</si>
  <si>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</si>
  <si>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</si>
  <si>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</si>
  <si>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</si>
  <si>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</si>
  <si>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</si>
  <si>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</si>
  <si>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</si>
  <si>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</si>
  <si>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</si>
  <si>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</si>
  <si>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</si>
  <si>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</si>
  <si>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</si>
  <si>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</si>
  <si>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</si>
  <si>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</si>
  <si>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</si>
  <si>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</si>
  <si>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</si>
  <si>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</si>
  <si>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</si>
  <si>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</si>
  <si>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</si>
  <si>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</si>
  <si>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</si>
  <si>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</si>
  <si>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</si>
  <si>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</si>
  <si>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</si>
  <si>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</si>
  <si>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</si>
  <si>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</si>
  <si>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</si>
  <si>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TRX0152</t>
  </si>
  <si>
    <t>TRX0213</t>
  </si>
  <si>
    <t>TRX0197</t>
  </si>
  <si>
    <t>TRX0250</t>
  </si>
  <si>
    <t>TRX0068</t>
  </si>
  <si>
    <t>TRX0144</t>
  </si>
  <si>
    <t>TRX0039</t>
  </si>
  <si>
    <t>TRX0116</t>
  </si>
  <si>
    <t>TRX0120</t>
  </si>
  <si>
    <t>TRX0103</t>
  </si>
  <si>
    <t>TRX0064</t>
  </si>
  <si>
    <t>Date_Diffrence</t>
  </si>
  <si>
    <t>Timestamp</t>
  </si>
  <si>
    <t>Total_Revenue_Per_Person</t>
  </si>
  <si>
    <t>Unique_Customer_ID</t>
  </si>
  <si>
    <t>Grand Total</t>
  </si>
  <si>
    <t>FILTER FUNCTION</t>
  </si>
  <si>
    <t xml:space="preserve">TOP SELLING PRODUCT </t>
  </si>
  <si>
    <t>Column1</t>
  </si>
  <si>
    <t>Mean</t>
  </si>
  <si>
    <t>Standard Error</t>
  </si>
  <si>
    <t>Median</t>
  </si>
  <si>
    <t>Mode</t>
  </si>
  <si>
    <t>Standard Deviation</t>
  </si>
  <si>
    <t>Sample Variance</t>
  </si>
  <si>
    <t>Kurtosis</t>
  </si>
  <si>
    <t>Skewness</t>
  </si>
  <si>
    <t>Range</t>
  </si>
  <si>
    <t>Minimum</t>
  </si>
  <si>
    <t>Maximum</t>
  </si>
  <si>
    <t>Sum</t>
  </si>
  <si>
    <t>Count</t>
  </si>
  <si>
    <t>SUMMARY OUTPUT</t>
  </si>
  <si>
    <t>Regression Statistics</t>
  </si>
  <si>
    <t>Multiple R</t>
  </si>
  <si>
    <t>R Square</t>
  </si>
  <si>
    <t>Adjusted R Square</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</si>
  <si>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</si>
  <si>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</si>
  <si>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</si>
  <si>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</si>
  <si>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</si>
  <si>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</si>
  <si>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</si>
  <si>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</si>
  <si>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</si>
  <si>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</si>
  <si>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</si>
  <si>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</si>
  <si>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</si>
  <si>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</si>
  <si>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</si>
  <si>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</si>
  <si>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</si>
  <si>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</si>
  <si>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</si>
  <si>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Row Labels</t>
  </si>
  <si>
    <t>Sum of Total_Amount</t>
  </si>
  <si>
    <t>Customer_name</t>
  </si>
  <si>
    <t>RANK</t>
  </si>
  <si>
    <t>TOP_REVENUE</t>
  </si>
  <si>
    <t>Sum of Unit_Price</t>
  </si>
  <si>
    <t>Sum of Quantity</t>
  </si>
  <si>
    <t>2021</t>
  </si>
  <si>
    <t>2022</t>
  </si>
  <si>
    <t>2023</t>
  </si>
  <si>
    <t>2024</t>
  </si>
  <si>
    <t>Count of Region</t>
  </si>
  <si>
    <t>Jan</t>
  </si>
  <si>
    <t>Feb</t>
  </si>
  <si>
    <t>Mar</t>
  </si>
  <si>
    <t>Apr</t>
  </si>
  <si>
    <t>May</t>
  </si>
  <si>
    <t>Jun</t>
  </si>
  <si>
    <t>Jul</t>
  </si>
  <si>
    <t>Aug</t>
  </si>
  <si>
    <t>Sep</t>
  </si>
  <si>
    <t>Oct</t>
  </si>
  <si>
    <t>Nov</t>
  </si>
  <si>
    <t>Dec</t>
  </si>
  <si>
    <t>Count of Payment_Method</t>
  </si>
  <si>
    <t>DASHBOARD - FINAL PROJECT</t>
  </si>
  <si>
    <t>TOTAL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</si>
</sst>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sz val="11"/>
      <color theme="1"/>
      <name val="Calibri"/>
      <family val="2"/>
    </font>
    <font>
      <b/>
      <sz val="11"/>
      <color theme="1"/>
      <name val="Calibri"/>
      <family val="2"/>
    </font>
    <font>
      <b/>
      <sz val="11"/>
      <color rgb="FF367526"/>
      <name val="Calibri"/>
      <family val="2"/>
    </font>
    <font>
      <sz val="11"/>
      <color rgb="FF38761D"/>
      <name val="Calibri"/>
      <family val="2"/>
    </font>
    <font>
      <b/>
      <sz val="11"/>
      <color theme="3" tint="9.9978637043366805E-2"/>
      <name val="Aptos Narrow"/>
      <family val="2"/>
      <scheme val="minor"/>
    </font>
    <font>
      <i/>
      <sz val="11"/>
      <color theme="1"/>
      <name val="Aptos Narrow"/>
      <family val="2"/>
      <scheme val="minor"/>
    </font>
    <font>
      <b/>
      <i/>
      <sz val="11"/>
      <color theme="1"/>
      <name val="Aptos Narrow"/>
      <family val="2"/>
      <scheme val="minor"/>
    </font>
    <font>
      <b/>
      <sz val="18"/>
      <color theme="6" tint="-0.499984740745262"/>
      <name val="Aptos Narrow"/>
      <family val="2"/>
      <scheme val="minor"/>
    </font>
    <font>
      <b/>
      <sz val="22"/>
      <color theme="6" tint="-0.499984740745262"/>
      <name val="Aptos Narrow"/>
      <family val="2"/>
      <scheme val="minor"/>
    </font>
    <font>
      <b/>
      <sz val="22"/>
      <color theme="9" tint="0.79998168889431442"/>
      <name val="Aptos Narrow"/>
      <family val="2"/>
      <scheme val="minor"/>
    </font>
  </fonts>
  <fills count="11">
    <fill>
      <patternFill patternType="none"/>
    </fill>
    <fill>
      <patternFill patternType="gray125"/>
    </fill>
    <fill>
      <patternFill patternType="solid">
        <fgColor theme="8" tint="0.39997558519241921"/>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8" tint="0.59999389629810485"/>
        <bgColor indexed="64"/>
      </patternFill>
    </fill>
    <fill>
      <patternFill patternType="solid">
        <fgColor theme="0"/>
        <bgColor indexed="64"/>
      </patternFill>
    </fill>
    <fill>
      <patternFill patternType="solid">
        <fgColor theme="9" tint="0.59999389629810485"/>
        <bgColor indexed="64"/>
      </patternFill>
    </fill>
    <fill>
      <patternFill patternType="solid">
        <fgColor theme="0" tint="-0.499984740745262"/>
        <bgColor indexed="64"/>
      </patternFill>
    </fill>
    <fill>
      <patternFill patternType="solid">
        <fgColor theme="6"/>
        <bgColor indexed="64"/>
      </patternFill>
    </fill>
  </fills>
  <borders count="1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7">
    <xf numFmtId="0" fontId="0" fillId="0" borderId="0" xfId="0"/>
    <xf numFmtId="0" fontId="3" fillId="0" borderId="1" xfId="0" applyFont="1" applyBorder="1"/>
    <xf numFmtId="0" fontId="0" fillId="0" borderId="2" xfId="0" applyBorder="1"/>
    <xf numFmtId="0" fontId="0" fillId="0" borderId="3" xfId="0" applyBorder="1"/>
    <xf numFmtId="0" fontId="0" fillId="0" borderId="4" xfId="0" applyBorder="1"/>
    <xf numFmtId="0" fontId="0" fillId="0" borderId="0" xfId="0" applyBorder="1"/>
    <xf numFmtId="0" fontId="0" fillId="0" borderId="5" xfId="0" applyBorder="1"/>
    <xf numFmtId="0" fontId="3" fillId="0" borderId="4" xfId="0" applyFont="1" applyBorder="1"/>
    <xf numFmtId="0" fontId="2" fillId="0" borderId="4" xfId="0" applyFont="1" applyBorder="1"/>
    <xf numFmtId="0" fontId="4" fillId="0" borderId="4" xfId="0" applyFont="1" applyBorder="1"/>
    <xf numFmtId="0" fontId="5" fillId="0" borderId="4" xfId="0" applyFont="1" applyBorder="1"/>
    <xf numFmtId="0" fontId="2" fillId="0" borderId="6" xfId="0" applyFont="1" applyBorder="1"/>
    <xf numFmtId="0" fontId="0" fillId="0" borderId="7" xfId="0" applyBorder="1"/>
    <xf numFmtId="0" fontId="0" fillId="0" borderId="8" xfId="0" applyBorder="1"/>
    <xf numFmtId="0" fontId="3" fillId="0" borderId="9" xfId="0" applyFont="1" applyBorder="1" applyAlignment="1">
      <alignment wrapText="1"/>
    </xf>
    <xf numFmtId="14" fontId="2" fillId="0" borderId="9" xfId="0" applyNumberFormat="1" applyFont="1" applyBorder="1" applyAlignment="1">
      <alignment horizontal="right" wrapText="1"/>
    </xf>
    <xf numFmtId="0" fontId="2" fillId="0" borderId="9" xfId="0" applyFont="1" applyBorder="1" applyAlignment="1">
      <alignment wrapText="1"/>
    </xf>
    <xf numFmtId="0" fontId="2" fillId="0" borderId="9" xfId="0" applyFont="1" applyBorder="1" applyAlignment="1">
      <alignment horizontal="right" wrapText="1"/>
    </xf>
    <xf numFmtId="0" fontId="1" fillId="0" borderId="0" xfId="0" applyFont="1"/>
    <xf numFmtId="0" fontId="1" fillId="2" borderId="0" xfId="0" applyFont="1" applyFill="1"/>
    <xf numFmtId="0" fontId="1" fillId="3" borderId="9" xfId="0" applyFont="1" applyFill="1" applyBorder="1"/>
    <xf numFmtId="22" fontId="1" fillId="3" borderId="9" xfId="0" applyNumberFormat="1" applyFont="1" applyFill="1" applyBorder="1"/>
    <xf numFmtId="0" fontId="1" fillId="3" borderId="10" xfId="0" applyFont="1" applyFill="1" applyBorder="1"/>
    <xf numFmtId="22" fontId="1" fillId="3" borderId="10" xfId="0" applyNumberFormat="1" applyFont="1" applyFill="1" applyBorder="1"/>
    <xf numFmtId="0" fontId="1" fillId="2" borderId="9" xfId="0" applyFont="1" applyFill="1" applyBorder="1"/>
    <xf numFmtId="0" fontId="1" fillId="4" borderId="9" xfId="0" applyFont="1" applyFill="1" applyBorder="1"/>
    <xf numFmtId="0" fontId="6" fillId="2" borderId="9" xfId="0" applyFont="1" applyFill="1" applyBorder="1"/>
    <xf numFmtId="0" fontId="6" fillId="3" borderId="9" xfId="0" applyFont="1" applyFill="1" applyBorder="1"/>
    <xf numFmtId="0" fontId="1" fillId="5" borderId="11" xfId="0" applyFont="1" applyFill="1" applyBorder="1"/>
    <xf numFmtId="0" fontId="0" fillId="5" borderId="12" xfId="0" applyFill="1" applyBorder="1"/>
    <xf numFmtId="0" fontId="1" fillId="5" borderId="9" xfId="0" applyFont="1" applyFill="1" applyBorder="1"/>
    <xf numFmtId="0" fontId="7" fillId="5" borderId="9" xfId="0" applyFont="1" applyFill="1" applyBorder="1" applyAlignment="1">
      <alignment horizontal="centerContinuous"/>
    </xf>
    <xf numFmtId="0" fontId="0" fillId="4" borderId="9" xfId="0" applyFill="1" applyBorder="1" applyAlignment="1"/>
    <xf numFmtId="0" fontId="0" fillId="4" borderId="9" xfId="0" applyFill="1" applyBorder="1"/>
    <xf numFmtId="0" fontId="8" fillId="6" borderId="9" xfId="0" applyFont="1" applyFill="1" applyBorder="1" applyAlignment="1">
      <alignment horizontal="centerContinuous"/>
    </xf>
    <xf numFmtId="0" fontId="1" fillId="6" borderId="9" xfId="0" applyFont="1" applyFill="1" applyBorder="1"/>
    <xf numFmtId="0" fontId="8" fillId="6" borderId="9" xfId="0" applyFont="1" applyFill="1" applyBorder="1" applyAlignment="1">
      <alignment horizontal="center"/>
    </xf>
    <xf numFmtId="0" fontId="1" fillId="7" borderId="0" xfId="0" applyFont="1" applyFill="1"/>
    <xf numFmtId="0" fontId="1" fillId="3" borderId="9" xfId="0" applyFont="1" applyFill="1" applyBorder="1" applyAlignment="1"/>
    <xf numFmtId="0" fontId="0" fillId="0" borderId="0" xfId="0" pivotButton="1"/>
    <xf numFmtId="0" fontId="0" fillId="0" borderId="0" xfId="0" applyAlignment="1">
      <alignment horizontal="left"/>
    </xf>
    <xf numFmtId="0" fontId="0" fillId="0" borderId="0" xfId="0" applyNumberFormat="1"/>
    <xf numFmtId="0" fontId="0" fillId="8" borderId="0" xfId="0" applyFill="1"/>
    <xf numFmtId="0" fontId="9" fillId="8" borderId="0" xfId="0" applyFont="1" applyFill="1"/>
    <xf numFmtId="0" fontId="0" fillId="9" borderId="0" xfId="0" applyFill="1"/>
    <xf numFmtId="0" fontId="10" fillId="8" borderId="0" xfId="0" applyFont="1" applyFill="1"/>
    <xf numFmtId="0" fontId="11" fillId="10" borderId="0" xfId="0" applyFont="1" applyFill="1"/>
  </cellXfs>
  <cellStyles count="1">
    <cellStyle name="Normal" xfId="0" builtinId="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[EXCEL_FINAL_PROJECT.xlsx]OBJECTIVE1!PivotTable3</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Total_Amount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3">
              <a:alpha val="85000"/>
            </a:schemeClr>
          </a:solidFill>
          <a:ln w="9525" cap="flat" cmpd="sng" algn="ctr">
            <a:solidFill>
              <a:schemeClr val="lt1">
                <a:alpha val="50000"/>
              </a:schemeClr>
            </a:solidFill>
            <a:round/>
          </a:ln>
          <a:effectLst/>
        </c:spPr>
        <c:marker>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
        <c:idx val="1"/>
        <c:spPr>
          <a:solidFill>
            <a:schemeClr val="accent3">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
        <c:idx val="2"/>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OBJECTIVE1!$B$3</c:f>
              <c:strCache>
                <c:ptCount val="1"/>
                <c:pt idx="0">
                  <c:v>Total</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OBJECTIVE1!$A$4:$A$9</c:f>
              <c:strCache>
                <c:ptCount val="5"/>
                <c:pt idx="0">
                  <c:v>Barbara Young</c:v>
                </c:pt>
                <c:pt idx="1">
                  <c:v>Edward Mitchell</c:v>
                </c:pt>
                <c:pt idx="2">
                  <c:v>Mark Carter</c:v>
                </c:pt>
                <c:pt idx="3">
                  <c:v>Patricia Moore</c:v>
                </c:pt>
                <c:pt idx="4">
                  <c:v>Paul Baker</c:v>
                </c:pt>
              </c:strCache>
            </c:strRef>
          </c:cat>
          <c:val>
            <c:numRef>
              <c:f>OBJECTIVE1!$B$4:$B$9</c:f>
              <c:numCache>
                <c:formatCode>General</c:formatCode>
                <c:ptCount val="5"/>
                <c:pt idx="0">
                  <c:v>10649.8</c:v>
                </c:pt>
                <c:pt idx="1">
                  <c:v>11919.769999999999</c:v>
                </c:pt>
                <c:pt idx="2">
                  <c:v>15659.65</c:v>
                </c:pt>
                <c:pt idx="3">
                  <c:v>9799.73</c:v>
                </c:pt>
                <c:pt idx="4">
                  <c:v>8309.739999999998</c:v>
                </c:pt>
              </c:numCache>
            </c:numRef>
          </c:val>
          <c:extLst>
            <c:ext xmlns:c16="http://schemas.microsoft.com/office/drawing/2014/chart" uri="{C3380CC4-5D6E-409C-BE32-E72D297353CC}">
              <c16:uniqueId val="{00000000-9407-4864-92C4-98D5A93833CA}"/>
            </c:ext>
          </c:extLst>
        </c:ser>
        <c:dLbls>
          <c:dLblPos val="inEnd"/>
          <c:showLegendKey val="0"/>
          <c:showVal val="1"/>
          <c:showCatName val="0"/>
          <c:showSerName val="0"/>
          <c:showPercent val="0"/>
          <c:showBubbleSize val="0"/>
        </c:dLbls>
        <c:gapWidth val="65"/>
        <c:axId val="768816543"/>
        <c:axId val="768819903"/>
      </c:barChart>
      <c:catAx>
        <c:axId val="76881654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768819903"/>
        <c:crosses val="autoZero"/>
        <c:auto val="1"/>
        <c:lblAlgn val="ctr"/>
        <c:lblOffset val="100"/>
        <c:noMultiLvlLbl val="0"/>
      </c:catAx>
      <c:valAx>
        <c:axId val="7688199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crossAx val="768816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[EXCEL_FINAL_PROJECT.xlsx]OBJECTIVE2!PivotTable4</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1"/>
              <a:t>Category</a:t>
            </a:r>
            <a:r>
              <a:rPr lang="en-US" b="1" baseline="0"/>
              <a:t> VS Unit_Price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3"/>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hade val="65000"/>
            </a:schemeClr>
          </a:solidFill>
          <a:ln>
            <a:noFill/>
          </a:ln>
          <a:effectLst>
            <a:outerShdw blurRad="254000" sx="102000" sy="102000" algn="ctr" rotWithShape="0">
              <a:prstClr val="black">
                <a:alpha val="20000"/>
              </a:prstClr>
            </a:outerShdw>
          </a:effectLst>
        </c:spPr>
        <c:dLbl>
          <c:idx val="0"/>
          <c:layout>
            <c:manualLayout>
              <c:x val="-0.11944444444444445"/>
              <c:y val="-8.796296296296296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tint val="65000"/>
            </a:schemeClr>
          </a:solidFill>
          <a:ln>
            <a:noFill/>
          </a:ln>
          <a:effectLst>
            <a:outerShdw blurRad="254000" sx="102000" sy="102000" algn="ctr" rotWithShape="0">
              <a:prstClr val="black">
                <a:alpha val="20000"/>
              </a:prstClr>
            </a:outerShdw>
          </a:effectLst>
        </c:spPr>
        <c:dLbl>
          <c:idx val="0"/>
          <c:layout>
            <c:manualLayout>
              <c:x val="1.9444444444444445E-2"/>
              <c:y val="-0.1388888888888889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3"/>
          </a:solidFill>
          <a:ln>
            <a:noFill/>
          </a:ln>
          <a:effectLst>
            <a:outerShdw blurRad="254000" sx="102000" sy="102000" algn="ctr" rotWithShape="0">
              <a:prstClr val="black">
                <a:alpha val="20000"/>
              </a:prstClr>
            </a:outerShdw>
          </a:effectLst>
        </c:spPr>
        <c:dLbl>
          <c:idx val="0"/>
          <c:layout>
            <c:manualLayout>
              <c:x val="0.17499999999999999"/>
              <c:y val="6.481481481481481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3">
              <a:tint val="65000"/>
            </a:schemeClr>
          </a:solidFill>
          <a:ln>
            <a:noFill/>
          </a:ln>
          <a:effectLst>
            <a:outerShdw blurRad="254000" sx="102000" sy="102000" algn="ctr" rotWithShape="0">
              <a:prstClr val="black">
                <a:alpha val="20000"/>
              </a:prstClr>
            </a:outerShdw>
          </a:effectLst>
        </c:spPr>
        <c:dLbl>
          <c:idx val="0"/>
          <c:layout>
            <c:manualLayout>
              <c:x val="1.9444444444444445E-2"/>
              <c:y val="-0.1388888888888889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3"/>
          </a:solidFill>
          <a:ln>
            <a:noFill/>
          </a:ln>
          <a:effectLst>
            <a:outerShdw blurRad="254000" sx="102000" sy="102000" algn="ctr" rotWithShape="0">
              <a:prstClr val="black">
                <a:alpha val="20000"/>
              </a:prstClr>
            </a:outerShdw>
          </a:effectLst>
        </c:spPr>
        <c:dLbl>
          <c:idx val="0"/>
          <c:layout>
            <c:manualLayout>
              <c:x val="0.17499999999999999"/>
              <c:y val="6.481481481481481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3">
              <a:shade val="65000"/>
            </a:schemeClr>
          </a:solidFill>
          <a:ln>
            <a:noFill/>
          </a:ln>
          <a:effectLst>
            <a:outerShdw blurRad="254000" sx="102000" sy="102000" algn="ctr" rotWithShape="0">
              <a:prstClr val="black">
                <a:alpha val="20000"/>
              </a:prstClr>
            </a:outerShdw>
          </a:effectLst>
        </c:spPr>
        <c:dLbl>
          <c:idx val="0"/>
          <c:layout>
            <c:manualLayout>
              <c:x val="-0.11944444444444445"/>
              <c:y val="-8.796296296296296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3">
              <a:tint val="65000"/>
            </a:schemeClr>
          </a:solidFill>
          <a:ln>
            <a:noFill/>
          </a:ln>
          <a:effectLst>
            <a:outerShdw blurRad="254000" sx="102000" sy="102000" algn="ctr" rotWithShape="0">
              <a:prstClr val="black">
                <a:alpha val="20000"/>
              </a:prstClr>
            </a:outerShdw>
          </a:effectLst>
        </c:spPr>
        <c:dLbl>
          <c:idx val="0"/>
          <c:layout>
            <c:manualLayout>
              <c:x val="1.9444444444444445E-2"/>
              <c:y val="-0.1388888888888889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3"/>
          </a:solidFill>
          <a:ln>
            <a:noFill/>
          </a:ln>
          <a:effectLst>
            <a:outerShdw blurRad="254000" sx="102000" sy="102000" algn="ctr" rotWithShape="0">
              <a:prstClr val="black">
                <a:alpha val="20000"/>
              </a:prstClr>
            </a:outerShdw>
          </a:effectLst>
        </c:spPr>
        <c:dLbl>
          <c:idx val="0"/>
          <c:layout>
            <c:manualLayout>
              <c:x val="0.17499999999999999"/>
              <c:y val="6.481481481481481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3">
              <a:shade val="65000"/>
            </a:schemeClr>
          </a:solidFill>
          <a:ln>
            <a:noFill/>
          </a:ln>
          <a:effectLst>
            <a:outerShdw blurRad="254000" sx="102000" sy="102000" algn="ctr" rotWithShape="0">
              <a:prstClr val="black">
                <a:alpha val="20000"/>
              </a:prstClr>
            </a:outerShdw>
          </a:effectLst>
        </c:spPr>
        <c:dLbl>
          <c:idx val="0"/>
          <c:layout>
            <c:manualLayout>
              <c:x val="-0.11944444444444445"/>
              <c:y val="-8.796296296296296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OBJECTIVE2!$B$3</c:f>
              <c:strCache>
                <c:ptCount val="1"/>
                <c:pt idx="0">
                  <c:v>Total</c:v>
                </c:pt>
              </c:strCache>
            </c:strRef>
          </c:tx>
          <c:dPt>
            <c:idx val="0"/>
            <c:bubble3D val="0"/>
            <c:spPr>
              <a:solidFill>
                <a:schemeClr val="accent3">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6FF-4079-B2E3-294F371AD7B1}"/>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6FF-4079-B2E3-294F371AD7B1}"/>
              </c:ext>
            </c:extLst>
          </c:dPt>
          <c:dPt>
            <c:idx val="2"/>
            <c:bubble3D val="0"/>
            <c:spPr>
              <a:solidFill>
                <a:schemeClr val="accent3">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6FF-4079-B2E3-294F371AD7B1}"/>
              </c:ext>
            </c:extLst>
          </c:dPt>
          <c:dLbls>
            <c:dLbl>
              <c:idx val="0"/>
              <c:layout>
                <c:manualLayout>
                  <c:x val="1.9444444444444445E-2"/>
                  <c:y val="-0.1388888888888889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6FF-4079-B2E3-294F371AD7B1}"/>
                </c:ext>
              </c:extLst>
            </c:dLbl>
            <c:dLbl>
              <c:idx val="1"/>
              <c:layout>
                <c:manualLayout>
                  <c:x val="0.17499999999999999"/>
                  <c:y val="6.481481481481481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6FF-4079-B2E3-294F371AD7B1}"/>
                </c:ext>
              </c:extLst>
            </c:dLbl>
            <c:dLbl>
              <c:idx val="2"/>
              <c:layout>
                <c:manualLayout>
                  <c:x val="-0.11944444444444445"/>
                  <c:y val="-8.796296296296296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6FF-4079-B2E3-294F371AD7B1}"/>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OBJECTIVE2!$A$4:$A$7</c:f>
              <c:strCache>
                <c:ptCount val="3"/>
                <c:pt idx="0">
                  <c:v>Appliances</c:v>
                </c:pt>
                <c:pt idx="1">
                  <c:v>Electronics</c:v>
                </c:pt>
                <c:pt idx="2">
                  <c:v>Furniture</c:v>
                </c:pt>
              </c:strCache>
            </c:strRef>
          </c:cat>
          <c:val>
            <c:numRef>
              <c:f>OBJECTIVE2!$B$4:$B$7</c:f>
              <c:numCache>
                <c:formatCode>General</c:formatCode>
                <c:ptCount val="3"/>
                <c:pt idx="0">
                  <c:v>2859.5699999999974</c:v>
                </c:pt>
                <c:pt idx="1">
                  <c:v>55258.689999999959</c:v>
                </c:pt>
                <c:pt idx="2">
                  <c:v>16049.239999999987</c:v>
                </c:pt>
              </c:numCache>
            </c:numRef>
          </c:val>
          <c:extLst>
            <c:ext xmlns:c16="http://schemas.microsoft.com/office/drawing/2014/chart" uri="{C3380CC4-5D6E-409C-BE32-E72D297353CC}">
              <c16:uniqueId val="{00000006-16FF-4079-B2E3-294F371AD7B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[EXCEL_FINAL_PROJECT.xlsx]OBHECTIVE3!PivotTable5</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Quantity</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3">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136482939632546E-2"/>
          <c:y val="0.1987962962962963"/>
          <c:w val="0.89030796150481195"/>
          <c:h val="0.52060695538057744"/>
        </c:manualLayout>
      </c:layout>
      <c:barChart>
        <c:barDir val="col"/>
        <c:grouping val="clustered"/>
        <c:varyColors val="0"/>
        <c:ser>
          <c:idx val="0"/>
          <c:order val="0"/>
          <c:tx>
            <c:strRef>
              <c:f>OBHECTIVE3!$B$3</c:f>
              <c:strCache>
                <c:ptCount val="1"/>
                <c:pt idx="0">
                  <c:v>Total</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OBHECTIVE3!$A$4:$A$14</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OBHECTIVE3!$B$4:$B$14</c:f>
              <c:numCache>
                <c:formatCode>General</c:formatCode>
                <c:ptCount val="10"/>
                <c:pt idx="0">
                  <c:v>87</c:v>
                </c:pt>
                <c:pt idx="1">
                  <c:v>102</c:v>
                </c:pt>
                <c:pt idx="2">
                  <c:v>39</c:v>
                </c:pt>
                <c:pt idx="3">
                  <c:v>78</c:v>
                </c:pt>
                <c:pt idx="4">
                  <c:v>47</c:v>
                </c:pt>
                <c:pt idx="5">
                  <c:v>89</c:v>
                </c:pt>
                <c:pt idx="6">
                  <c:v>75</c:v>
                </c:pt>
                <c:pt idx="7">
                  <c:v>88</c:v>
                </c:pt>
                <c:pt idx="8">
                  <c:v>52</c:v>
                </c:pt>
                <c:pt idx="9">
                  <c:v>96</c:v>
                </c:pt>
              </c:numCache>
            </c:numRef>
          </c:val>
          <c:extLst>
            <c:ext xmlns:c16="http://schemas.microsoft.com/office/drawing/2014/chart" uri="{C3380CC4-5D6E-409C-BE32-E72D297353CC}">
              <c16:uniqueId val="{00000000-4817-47A8-9426-5DFD4C502A1D}"/>
            </c:ext>
          </c:extLst>
        </c:ser>
        <c:dLbls>
          <c:dLblPos val="outEnd"/>
          <c:showLegendKey val="0"/>
          <c:showVal val="1"/>
          <c:showCatName val="0"/>
          <c:showSerName val="0"/>
          <c:showPercent val="0"/>
          <c:showBubbleSize val="0"/>
        </c:dLbls>
        <c:gapWidth val="65"/>
        <c:axId val="1173944383"/>
        <c:axId val="1173943903"/>
      </c:barChart>
      <c:catAx>
        <c:axId val="11739443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1173943903"/>
        <c:crosses val="autoZero"/>
        <c:auto val="1"/>
        <c:lblAlgn val="ctr"/>
        <c:lblOffset val="100"/>
        <c:noMultiLvlLbl val="0"/>
      </c:catAx>
      <c:valAx>
        <c:axId val="11739439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crossAx val="1173944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[EXCEL_FINAL_PROJECT.xlsx]OBJECTIVE4!PivotTable6</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 Count</a:t>
            </a:r>
          </a:p>
        </c:rich>
      </c:tx>
      <c:layout>
        <c:manualLayout>
          <c:xMode val="edge"/>
          <c:yMode val="edge"/>
          <c:x val="0.59504855643044607"/>
          <c:y val="1.388888888888888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3"/>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hade val="58000"/>
            </a:schemeClr>
          </a:solidFill>
          <a:ln>
            <a:noFill/>
          </a:ln>
          <a:effectLst>
            <a:outerShdw blurRad="254000" sx="102000" sy="102000" algn="ctr" rotWithShape="0">
              <a:prstClr val="black">
                <a:alpha val="20000"/>
              </a:prstClr>
            </a:outerShdw>
          </a:effectLst>
          <a:sp3d/>
        </c:spPr>
        <c:dLbl>
          <c:idx val="0"/>
          <c:layout>
            <c:manualLayout>
              <c:x val="1.7219816272965829E-2"/>
              <c:y val="-6.623906386701662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tint val="58000"/>
            </a:schemeClr>
          </a:solidFill>
          <a:ln>
            <a:noFill/>
          </a:ln>
          <a:effectLst>
            <a:outerShdw blurRad="254000" sx="102000" sy="102000" algn="ctr" rotWithShape="0">
              <a:prstClr val="black">
                <a:alpha val="20000"/>
              </a:prstClr>
            </a:outerShdw>
          </a:effectLst>
          <a:sp3d/>
        </c:spPr>
        <c:dLbl>
          <c:idx val="0"/>
          <c:layout>
            <c:manualLayout>
              <c:x val="6.328237095363079E-2"/>
              <c:y val="1.855679498396029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tint val="86000"/>
            </a:schemeClr>
          </a:solidFill>
          <a:ln>
            <a:noFill/>
          </a:ln>
          <a:effectLst>
            <a:outerShdw blurRad="254000" sx="102000" sy="102000" algn="ctr" rotWithShape="0">
              <a:prstClr val="black">
                <a:alpha val="20000"/>
              </a:prstClr>
            </a:outerShdw>
          </a:effectLst>
          <a:sp3d/>
        </c:spPr>
        <c:dLbl>
          <c:idx val="0"/>
          <c:layout>
            <c:manualLayout>
              <c:x val="6.0910761154855643E-2"/>
              <c:y val="-6.630139982502186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hade val="86000"/>
            </a:schemeClr>
          </a:solidFill>
          <a:ln>
            <a:noFill/>
          </a:ln>
          <a:effectLst>
            <a:outerShdw blurRad="254000" sx="102000" sy="102000" algn="ctr" rotWithShape="0">
              <a:prstClr val="black">
                <a:alpha val="20000"/>
              </a:prstClr>
            </a:outerShdw>
          </a:effectLst>
          <a:sp3d/>
        </c:spPr>
        <c:dLbl>
          <c:idx val="0"/>
          <c:layout>
            <c:manualLayout>
              <c:x val="-5.592454068241471E-2"/>
              <c:y val="4.32396471274423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tint val="58000"/>
            </a:schemeClr>
          </a:solidFill>
          <a:ln>
            <a:noFill/>
          </a:ln>
          <a:effectLst>
            <a:outerShdw blurRad="254000" sx="102000" sy="102000" algn="ctr" rotWithShape="0">
              <a:prstClr val="black">
                <a:alpha val="20000"/>
              </a:prstClr>
            </a:outerShdw>
          </a:effectLst>
          <a:sp3d/>
        </c:spPr>
        <c:dLbl>
          <c:idx val="0"/>
          <c:layout>
            <c:manualLayout>
              <c:x val="6.328237095363079E-2"/>
              <c:y val="1.855679498396029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tint val="86000"/>
            </a:schemeClr>
          </a:solidFill>
          <a:ln>
            <a:noFill/>
          </a:ln>
          <a:effectLst>
            <a:outerShdw blurRad="254000" sx="102000" sy="102000" algn="ctr" rotWithShape="0">
              <a:prstClr val="black">
                <a:alpha val="20000"/>
              </a:prstClr>
            </a:outerShdw>
          </a:effectLst>
          <a:sp3d/>
        </c:spPr>
        <c:dLbl>
          <c:idx val="0"/>
          <c:layout>
            <c:manualLayout>
              <c:x val="6.0910761154855643E-2"/>
              <c:y val="-6.630139982502186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shade val="86000"/>
            </a:schemeClr>
          </a:solidFill>
          <a:ln>
            <a:noFill/>
          </a:ln>
          <a:effectLst>
            <a:outerShdw blurRad="254000" sx="102000" sy="102000" algn="ctr" rotWithShape="0">
              <a:prstClr val="black">
                <a:alpha val="20000"/>
              </a:prstClr>
            </a:outerShdw>
          </a:effectLst>
          <a:sp3d/>
        </c:spPr>
        <c:dLbl>
          <c:idx val="0"/>
          <c:layout>
            <c:manualLayout>
              <c:x val="-5.592454068241471E-2"/>
              <c:y val="4.32396471274423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hade val="58000"/>
            </a:schemeClr>
          </a:solidFill>
          <a:ln>
            <a:noFill/>
          </a:ln>
          <a:effectLst>
            <a:outerShdw blurRad="254000" sx="102000" sy="102000" algn="ctr" rotWithShape="0">
              <a:prstClr val="black">
                <a:alpha val="20000"/>
              </a:prstClr>
            </a:outerShdw>
          </a:effectLst>
          <a:sp3d/>
        </c:spPr>
        <c:dLbl>
          <c:idx val="0"/>
          <c:layout>
            <c:manualLayout>
              <c:x val="1.7219816272965829E-2"/>
              <c:y val="-6.623906386701662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tint val="58000"/>
            </a:schemeClr>
          </a:solidFill>
          <a:ln>
            <a:noFill/>
          </a:ln>
          <a:effectLst>
            <a:outerShdw blurRad="254000" sx="102000" sy="102000" algn="ctr" rotWithShape="0">
              <a:prstClr val="black">
                <a:alpha val="20000"/>
              </a:prstClr>
            </a:outerShdw>
          </a:effectLst>
          <a:sp3d/>
        </c:spPr>
        <c:dLbl>
          <c:idx val="0"/>
          <c:layout>
            <c:manualLayout>
              <c:x val="6.328237095363079E-2"/>
              <c:y val="1.855679498396029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tint val="86000"/>
            </a:schemeClr>
          </a:solidFill>
          <a:ln>
            <a:noFill/>
          </a:ln>
          <a:effectLst>
            <a:outerShdw blurRad="254000" sx="102000" sy="102000" algn="ctr" rotWithShape="0">
              <a:prstClr val="black">
                <a:alpha val="20000"/>
              </a:prstClr>
            </a:outerShdw>
          </a:effectLst>
          <a:sp3d/>
        </c:spPr>
        <c:dLbl>
          <c:idx val="0"/>
          <c:layout>
            <c:manualLayout>
              <c:x val="6.0910761154855643E-2"/>
              <c:y val="-6.630139982502186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shade val="86000"/>
            </a:schemeClr>
          </a:solidFill>
          <a:ln>
            <a:noFill/>
          </a:ln>
          <a:effectLst>
            <a:outerShdw blurRad="254000" sx="102000" sy="102000" algn="ctr" rotWithShape="0">
              <a:prstClr val="black">
                <a:alpha val="20000"/>
              </a:prstClr>
            </a:outerShdw>
          </a:effectLst>
          <a:sp3d/>
        </c:spPr>
        <c:dLbl>
          <c:idx val="0"/>
          <c:layout>
            <c:manualLayout>
              <c:x val="-5.592454068241471E-2"/>
              <c:y val="4.32396471274423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shade val="58000"/>
            </a:schemeClr>
          </a:solidFill>
          <a:ln>
            <a:noFill/>
          </a:ln>
          <a:effectLst>
            <a:outerShdw blurRad="254000" sx="102000" sy="102000" algn="ctr" rotWithShape="0">
              <a:prstClr val="black">
                <a:alpha val="20000"/>
              </a:prstClr>
            </a:outerShdw>
          </a:effectLst>
          <a:sp3d/>
        </c:spPr>
        <c:dLbl>
          <c:idx val="0"/>
          <c:layout>
            <c:manualLayout>
              <c:x val="1.7219816272965829E-2"/>
              <c:y val="-6.623906386701662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OBJECTIVE4!$B$3</c:f>
              <c:strCache>
                <c:ptCount val="1"/>
                <c:pt idx="0">
                  <c:v>Total</c:v>
                </c:pt>
              </c:strCache>
            </c:strRef>
          </c:tx>
          <c:dPt>
            <c:idx val="0"/>
            <c:bubble3D val="0"/>
            <c:spPr>
              <a:solidFill>
                <a:schemeClr val="accent3">
                  <a:tint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4AE0-4B26-8856-0D15F49A7AA5}"/>
              </c:ext>
            </c:extLst>
          </c:dPt>
          <c:dPt>
            <c:idx val="1"/>
            <c:bubble3D val="0"/>
            <c:spPr>
              <a:solidFill>
                <a:schemeClr val="accent3">
                  <a:tint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4AE0-4B26-8856-0D15F49A7AA5}"/>
              </c:ext>
            </c:extLst>
          </c:dPt>
          <c:dPt>
            <c:idx val="2"/>
            <c:bubble3D val="0"/>
            <c:spPr>
              <a:solidFill>
                <a:schemeClr val="accent3">
                  <a:shade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4AE0-4B26-8856-0D15F49A7AA5}"/>
              </c:ext>
            </c:extLst>
          </c:dPt>
          <c:dPt>
            <c:idx val="3"/>
            <c:bubble3D val="0"/>
            <c:spPr>
              <a:solidFill>
                <a:schemeClr val="accent3">
                  <a:shade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4AE0-4B26-8856-0D15F49A7AA5}"/>
              </c:ext>
            </c:extLst>
          </c:dPt>
          <c:dLbls>
            <c:dLbl>
              <c:idx val="0"/>
              <c:layout>
                <c:manualLayout>
                  <c:x val="6.328237095363079E-2"/>
                  <c:y val="1.855679498396029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AE0-4B26-8856-0D15F49A7AA5}"/>
                </c:ext>
              </c:extLst>
            </c:dLbl>
            <c:dLbl>
              <c:idx val="1"/>
              <c:layout>
                <c:manualLayout>
                  <c:x val="6.0910761154855643E-2"/>
                  <c:y val="-6.630139982502186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AE0-4B26-8856-0D15F49A7AA5}"/>
                </c:ext>
              </c:extLst>
            </c:dLbl>
            <c:dLbl>
              <c:idx val="2"/>
              <c:layout>
                <c:manualLayout>
                  <c:x val="-5.592454068241471E-2"/>
                  <c:y val="4.32396471274423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AE0-4B26-8856-0D15F49A7AA5}"/>
                </c:ext>
              </c:extLst>
            </c:dLbl>
            <c:dLbl>
              <c:idx val="3"/>
              <c:layout>
                <c:manualLayout>
                  <c:x val="1.7219816272965829E-2"/>
                  <c:y val="-6.623906386701662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AE0-4B26-8856-0D15F49A7AA5}"/>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OBJECTIVE4!$A$4:$A$8</c:f>
              <c:strCache>
                <c:ptCount val="4"/>
                <c:pt idx="0">
                  <c:v>2021</c:v>
                </c:pt>
                <c:pt idx="1">
                  <c:v>2022</c:v>
                </c:pt>
                <c:pt idx="2">
                  <c:v>2023</c:v>
                </c:pt>
                <c:pt idx="3">
                  <c:v>2024</c:v>
                </c:pt>
              </c:strCache>
            </c:strRef>
          </c:cat>
          <c:val>
            <c:numRef>
              <c:f>OBJECTIVE4!$B$4:$B$8</c:f>
              <c:numCache>
                <c:formatCode>General</c:formatCode>
                <c:ptCount val="4"/>
                <c:pt idx="0">
                  <c:v>51</c:v>
                </c:pt>
                <c:pt idx="1">
                  <c:v>94</c:v>
                </c:pt>
                <c:pt idx="2">
                  <c:v>83</c:v>
                </c:pt>
                <c:pt idx="3">
                  <c:v>22</c:v>
                </c:pt>
              </c:numCache>
            </c:numRef>
          </c:val>
          <c:extLst>
            <c:ext xmlns:c16="http://schemas.microsoft.com/office/drawing/2014/chart" uri="{C3380CC4-5D6E-409C-BE32-E72D297353CC}">
              <c16:uniqueId val="{00000008-4AE0-4B26-8856-0D15F49A7AA5}"/>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[EXCEL_FINAL_PROJECT.xlsx]OBJECTIVE5!PivotTable7</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3">
              <a:alpha val="85000"/>
            </a:schemeClr>
          </a:solidFill>
          <a:ln w="31750" cap="rnd" cmpd="sng" algn="ctr">
            <a:solidFill>
              <a:schemeClr val="accent3"/>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alpha val="85000"/>
            </a:schemeClr>
          </a:solidFill>
          <a:ln w="31750" cap="rnd" cmpd="sng" algn="ctr">
            <a:solidFill>
              <a:schemeClr val="accent3"/>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3"/>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OBJECTIVE5!$B$3</c:f>
              <c:strCache>
                <c:ptCount val="1"/>
                <c:pt idx="0">
                  <c:v>Total</c:v>
                </c:pt>
              </c:strCache>
            </c:strRef>
          </c:tx>
          <c:spPr>
            <a:ln w="31750" cap="rnd">
              <a:solidFill>
                <a:schemeClr val="accent3"/>
              </a:solidFill>
              <a:round/>
            </a:ln>
            <a:effectLst/>
          </c:spPr>
          <c:marker>
            <c:symbol val="circle"/>
            <c:size val="17"/>
            <c:spPr>
              <a:solidFill>
                <a:schemeClr val="accent3"/>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OBJECTIVE5!$A$4:$A$16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OBJECTIVE5!$B$4:$B$16</c:f>
              <c:numCache>
                <c:formatCode>General</c:formatCode>
                <c:ptCount val="12"/>
                <c:pt idx="0">
                  <c:v>26</c:v>
                </c:pt>
                <c:pt idx="1">
                  <c:v>20</c:v>
                </c:pt>
                <c:pt idx="2">
                  <c:v>19</c:v>
                </c:pt>
                <c:pt idx="3">
                  <c:v>28</c:v>
                </c:pt>
                <c:pt idx="4">
                  <c:v>19</c:v>
                </c:pt>
                <c:pt idx="5">
                  <c:v>19</c:v>
                </c:pt>
                <c:pt idx="6">
                  <c:v>24</c:v>
                </c:pt>
                <c:pt idx="7">
                  <c:v>18</c:v>
                </c:pt>
                <c:pt idx="8">
                  <c:v>19</c:v>
                </c:pt>
                <c:pt idx="9">
                  <c:v>16</c:v>
                </c:pt>
                <c:pt idx="10">
                  <c:v>17</c:v>
                </c:pt>
                <c:pt idx="11">
                  <c:v>25</c:v>
                </c:pt>
              </c:numCache>
            </c:numRef>
          </c:val>
          <c:smooth val="0"/>
          <c:extLst>
            <c:ext xmlns:c16="http://schemas.microsoft.com/office/drawing/2014/chart" uri="{C3380CC4-5D6E-409C-BE32-E72D297353CC}">
              <c16:uniqueId val="{00000000-D073-4DA0-AEDD-3B1C7B4CD21F}"/>
            </c:ext>
          </c:extLst>
        </c:ser>
        <c:dLbls>
          <c:dLblPos val="ctr"/>
          <c:showLegendKey val="0"/>
          <c:showVal val="1"/>
          <c:showCatName val="0"/>
          <c:showSerName val="0"/>
          <c:showPercent val="0"/>
          <c:showBubbleSize val="0"/>
        </c:dLbls>
        <c:marker val="1"/>
        <c:smooth val="0"/>
        <c:axId val="982347439"/>
        <c:axId val="982344559"/>
      </c:lineChart>
      <c:catAx>
        <c:axId val="9823474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982344559"/>
        <c:crosses val="autoZero"/>
        <c:auto val="1"/>
        <c:lblAlgn val="ctr"/>
        <c:lblOffset val="100"/>
        <c:noMultiLvlLbl val="0"/>
      </c:catAx>
      <c:valAx>
        <c:axId val="98234455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crossAx val="982347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[EXCEL_FINAL_PROJECT.xlsx]OBJECTIVE1!PivotTable3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Total_Amount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3">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OBJECTIVE1!$B$3</c:f>
              <c:strCache>
                <c:ptCount val="1"/>
                <c:pt idx="0">
                  <c:v>Total</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OBJECTIVE1!$A$4:$A$9</c:f>
              <c:strCache>
                <c:ptCount val="5"/>
                <c:pt idx="0">
                  <c:v>Barbara Young</c:v>
                </c:pt>
                <c:pt idx="1">
                  <c:v>Edward Mitchell</c:v>
                </c:pt>
                <c:pt idx="2">
                  <c:v>Mark Carter</c:v>
                </c:pt>
                <c:pt idx="3">
                  <c:v>Patricia Moore</c:v>
                </c:pt>
                <c:pt idx="4">
                  <c:v>Paul Baker</c:v>
                </c:pt>
              </c:strCache>
            </c:strRef>
          </c:cat>
          <c:val>
            <c:numRef>
              <c:f>OBJECTIVE1!$B$4:$B$9</c:f>
              <c:numCache>
                <c:formatCode>General</c:formatCode>
                <c:ptCount val="5"/>
                <c:pt idx="0">
                  <c:v>10649.8</c:v>
                </c:pt>
                <c:pt idx="1">
                  <c:v>11919.769999999999</c:v>
                </c:pt>
                <c:pt idx="2">
                  <c:v>15659.65</c:v>
                </c:pt>
                <c:pt idx="3">
                  <c:v>9799.73</c:v>
                </c:pt>
                <c:pt idx="4">
                  <c:v>8309.739999999998</c:v>
                </c:pt>
              </c:numCache>
            </c:numRef>
          </c:val>
          <c:extLst>
            <c:ext xmlns:c16="http://schemas.microsoft.com/office/drawing/2014/chart" uri="{C3380CC4-5D6E-409C-BE32-E72D297353CC}">
              <c16:uniqueId val="{00000000-C7FF-483D-801B-F06C250C44C0}"/>
            </c:ext>
          </c:extLst>
        </c:ser>
        <c:dLbls>
          <c:dLblPos val="inEnd"/>
          <c:showLegendKey val="0"/>
          <c:showVal val="1"/>
          <c:showCatName val="0"/>
          <c:showSerName val="0"/>
          <c:showPercent val="0"/>
          <c:showBubbleSize val="0"/>
        </c:dLbls>
        <c:gapWidth val="65"/>
        <c:axId val="768816543"/>
        <c:axId val="768819903"/>
      </c:barChart>
      <c:catAx>
        <c:axId val="76881654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768819903"/>
        <c:crosses val="autoZero"/>
        <c:auto val="1"/>
        <c:lblAlgn val="ctr"/>
        <c:lblOffset val="100"/>
        <c:noMultiLvlLbl val="0"/>
      </c:catAx>
      <c:valAx>
        <c:axId val="7688199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crossAx val="768816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[EXCEL_FINAL_PROJECT.xlsx]OBJECTIVE2!PivotTable4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a:t>
            </a:r>
            <a:r>
              <a:rPr lang="en-US" baseline="0"/>
              <a:t> VS Unit_Price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3"/>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hade val="65000"/>
            </a:schemeClr>
          </a:solidFill>
          <a:ln>
            <a:noFill/>
          </a:ln>
          <a:effectLst>
            <a:outerShdw blurRad="254000" sx="102000" sy="102000" algn="ctr" rotWithShape="0">
              <a:prstClr val="black">
                <a:alpha val="20000"/>
              </a:prstClr>
            </a:outerShdw>
          </a:effectLst>
        </c:spPr>
        <c:dLbl>
          <c:idx val="0"/>
          <c:layout>
            <c:manualLayout>
              <c:x val="-0.11944444444444445"/>
              <c:y val="-8.796296296296296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tint val="65000"/>
            </a:schemeClr>
          </a:solidFill>
          <a:ln>
            <a:noFill/>
          </a:ln>
          <a:effectLst>
            <a:outerShdw blurRad="254000" sx="102000" sy="102000" algn="ctr" rotWithShape="0">
              <a:prstClr val="black">
                <a:alpha val="20000"/>
              </a:prstClr>
            </a:outerShdw>
          </a:effectLst>
        </c:spPr>
        <c:dLbl>
          <c:idx val="0"/>
          <c:layout>
            <c:manualLayout>
              <c:x val="1.9444444444444445E-2"/>
              <c:y val="-0.1388888888888889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3"/>
          </a:solidFill>
          <a:ln>
            <a:noFill/>
          </a:ln>
          <a:effectLst>
            <a:outerShdw blurRad="254000" sx="102000" sy="102000" algn="ctr" rotWithShape="0">
              <a:prstClr val="black">
                <a:alpha val="20000"/>
              </a:prstClr>
            </a:outerShdw>
          </a:effectLst>
        </c:spPr>
        <c:dLbl>
          <c:idx val="0"/>
          <c:layout>
            <c:manualLayout>
              <c:x val="0.17499999999999999"/>
              <c:y val="6.481481481481481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OBJECTIVE2!$B$3</c:f>
              <c:strCache>
                <c:ptCount val="1"/>
                <c:pt idx="0">
                  <c:v>Total</c:v>
                </c:pt>
              </c:strCache>
            </c:strRef>
          </c:tx>
          <c:dPt>
            <c:idx val="0"/>
            <c:bubble3D val="0"/>
            <c:spPr>
              <a:solidFill>
                <a:schemeClr val="accent3">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64C-4309-ABF4-9FE8583156EA}"/>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564C-4309-ABF4-9FE8583156EA}"/>
              </c:ext>
            </c:extLst>
          </c:dPt>
          <c:dPt>
            <c:idx val="2"/>
            <c:bubble3D val="0"/>
            <c:spPr>
              <a:solidFill>
                <a:schemeClr val="accent3">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564C-4309-ABF4-9FE8583156EA}"/>
              </c:ext>
            </c:extLst>
          </c:dPt>
          <c:dLbls>
            <c:dLbl>
              <c:idx val="0"/>
              <c:layout>
                <c:manualLayout>
                  <c:x val="1.9444444444444445E-2"/>
                  <c:y val="-0.1388888888888889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64C-4309-ABF4-9FE8583156EA}"/>
                </c:ext>
              </c:extLst>
            </c:dLbl>
            <c:dLbl>
              <c:idx val="1"/>
              <c:layout>
                <c:manualLayout>
                  <c:x val="0.17499999999999999"/>
                  <c:y val="6.481481481481481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64C-4309-ABF4-9FE8583156EA}"/>
                </c:ext>
              </c:extLst>
            </c:dLbl>
            <c:dLbl>
              <c:idx val="2"/>
              <c:layout>
                <c:manualLayout>
                  <c:x val="-0.11944444444444445"/>
                  <c:y val="-8.796296296296296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64C-4309-ABF4-9FE8583156EA}"/>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OBJECTIVE2!$A$4:$A$7</c:f>
              <c:strCache>
                <c:ptCount val="3"/>
                <c:pt idx="0">
                  <c:v>Appliances</c:v>
                </c:pt>
                <c:pt idx="1">
                  <c:v>Electronics</c:v>
                </c:pt>
                <c:pt idx="2">
                  <c:v>Furniture</c:v>
                </c:pt>
              </c:strCache>
            </c:strRef>
          </c:cat>
          <c:val>
            <c:numRef>
              <c:f>OBJECTIVE2!$B$4:$B$7</c:f>
              <c:numCache>
                <c:formatCode>General</c:formatCode>
                <c:ptCount val="3"/>
                <c:pt idx="0">
                  <c:v>2859.5699999999974</c:v>
                </c:pt>
                <c:pt idx="1">
                  <c:v>55258.689999999959</c:v>
                </c:pt>
                <c:pt idx="2">
                  <c:v>16049.239999999987</c:v>
                </c:pt>
              </c:numCache>
            </c:numRef>
          </c:val>
          <c:extLst>
            <c:ext xmlns:c16="http://schemas.microsoft.com/office/drawing/2014/chart" uri="{C3380CC4-5D6E-409C-BE32-E72D297353CC}">
              <c16:uniqueId val="{00000000-564C-4309-ABF4-9FE8583156E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[EXCEL_FINAL_PROJECT.xlsx]OBHECTIVE3!PivotTable5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Quantity</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3">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OBHECTIVE3!$B$3</c:f>
              <c:strCache>
                <c:ptCount val="1"/>
                <c:pt idx="0">
                  <c:v>Total</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OBHECTIVE3!$A$4:$A$14</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OBHECTIVE3!$B$4:$B$14</c:f>
              <c:numCache>
                <c:formatCode>General</c:formatCode>
                <c:ptCount val="10"/>
                <c:pt idx="0">
                  <c:v>87</c:v>
                </c:pt>
                <c:pt idx="1">
                  <c:v>102</c:v>
                </c:pt>
                <c:pt idx="2">
                  <c:v>39</c:v>
                </c:pt>
                <c:pt idx="3">
                  <c:v>78</c:v>
                </c:pt>
                <c:pt idx="4">
                  <c:v>47</c:v>
                </c:pt>
                <c:pt idx="5">
                  <c:v>89</c:v>
                </c:pt>
                <c:pt idx="6">
                  <c:v>75</c:v>
                </c:pt>
                <c:pt idx="7">
                  <c:v>88</c:v>
                </c:pt>
                <c:pt idx="8">
                  <c:v>52</c:v>
                </c:pt>
                <c:pt idx="9">
                  <c:v>96</c:v>
                </c:pt>
              </c:numCache>
            </c:numRef>
          </c:val>
          <c:extLst>
            <c:ext xmlns:c16="http://schemas.microsoft.com/office/drawing/2014/chart" uri="{C3380CC4-5D6E-409C-BE32-E72D297353CC}">
              <c16:uniqueId val="{00000000-B570-40DC-8679-193C86C523DC}"/>
            </c:ext>
          </c:extLst>
        </c:ser>
        <c:dLbls>
          <c:dLblPos val="outEnd"/>
          <c:showLegendKey val="0"/>
          <c:showVal val="1"/>
          <c:showCatName val="0"/>
          <c:showSerName val="0"/>
          <c:showPercent val="0"/>
          <c:showBubbleSize val="0"/>
        </c:dLbls>
        <c:gapWidth val="65"/>
        <c:axId val="1173944383"/>
        <c:axId val="1173943903"/>
      </c:barChart>
      <c:catAx>
        <c:axId val="11739443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1173943903"/>
        <c:crosses val="autoZero"/>
        <c:auto val="1"/>
        <c:lblAlgn val="ctr"/>
        <c:lblOffset val="100"/>
        <c:noMultiLvlLbl val="0"/>
      </c:catAx>
      <c:valAx>
        <c:axId val="11739439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crossAx val="1173944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[EXCEL_FINAL_PROJECT.xlsx]OBJECTIVE4!PivotTable6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 Count</a:t>
            </a:r>
          </a:p>
        </c:rich>
      </c:tx>
      <c:layout>
        <c:manualLayout>
          <c:xMode val="edge"/>
          <c:yMode val="edge"/>
          <c:x val="0.59504855643044607"/>
          <c:y val="1.388888888888888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3"/>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hade val="58000"/>
            </a:schemeClr>
          </a:solidFill>
          <a:ln>
            <a:noFill/>
          </a:ln>
          <a:effectLst>
            <a:outerShdw blurRad="254000" sx="102000" sy="102000" algn="ctr" rotWithShape="0">
              <a:prstClr val="black">
                <a:alpha val="20000"/>
              </a:prstClr>
            </a:outerShdw>
          </a:effectLst>
          <a:sp3d/>
        </c:spPr>
        <c:dLbl>
          <c:idx val="0"/>
          <c:layout>
            <c:manualLayout>
              <c:x val="1.7219816272965829E-2"/>
              <c:y val="-6.623906386701662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tint val="58000"/>
            </a:schemeClr>
          </a:solidFill>
          <a:ln>
            <a:noFill/>
          </a:ln>
          <a:effectLst>
            <a:outerShdw blurRad="254000" sx="102000" sy="102000" algn="ctr" rotWithShape="0">
              <a:prstClr val="black">
                <a:alpha val="20000"/>
              </a:prstClr>
            </a:outerShdw>
          </a:effectLst>
          <a:sp3d/>
        </c:spPr>
        <c:dLbl>
          <c:idx val="0"/>
          <c:layout>
            <c:manualLayout>
              <c:x val="6.328237095363079E-2"/>
              <c:y val="1.855679498396029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tint val="86000"/>
            </a:schemeClr>
          </a:solidFill>
          <a:ln>
            <a:noFill/>
          </a:ln>
          <a:effectLst>
            <a:outerShdw blurRad="254000" sx="102000" sy="102000" algn="ctr" rotWithShape="0">
              <a:prstClr val="black">
                <a:alpha val="20000"/>
              </a:prstClr>
            </a:outerShdw>
          </a:effectLst>
          <a:sp3d/>
        </c:spPr>
        <c:dLbl>
          <c:idx val="0"/>
          <c:layout>
            <c:manualLayout>
              <c:x val="6.0910761154855643E-2"/>
              <c:y val="-6.630139982502186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hade val="86000"/>
            </a:schemeClr>
          </a:solidFill>
          <a:ln>
            <a:noFill/>
          </a:ln>
          <a:effectLst>
            <a:outerShdw blurRad="254000" sx="102000" sy="102000" algn="ctr" rotWithShape="0">
              <a:prstClr val="black">
                <a:alpha val="20000"/>
              </a:prstClr>
            </a:outerShdw>
          </a:effectLst>
          <a:sp3d/>
        </c:spPr>
        <c:dLbl>
          <c:idx val="0"/>
          <c:layout>
            <c:manualLayout>
              <c:x val="-5.592454068241471E-2"/>
              <c:y val="4.32396471274423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OBJECTIVE4!$B$3</c:f>
              <c:strCache>
                <c:ptCount val="1"/>
                <c:pt idx="0">
                  <c:v>Total</c:v>
                </c:pt>
              </c:strCache>
            </c:strRef>
          </c:tx>
          <c:dPt>
            <c:idx val="0"/>
            <c:bubble3D val="0"/>
            <c:spPr>
              <a:solidFill>
                <a:schemeClr val="accent3">
                  <a:tint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3EF-4814-8E4B-37BC2917B173}"/>
              </c:ext>
            </c:extLst>
          </c:dPt>
          <c:dPt>
            <c:idx val="1"/>
            <c:bubble3D val="0"/>
            <c:spPr>
              <a:solidFill>
                <a:schemeClr val="accent3">
                  <a:tint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F3EF-4814-8E4B-37BC2917B173}"/>
              </c:ext>
            </c:extLst>
          </c:dPt>
          <c:dPt>
            <c:idx val="2"/>
            <c:bubble3D val="0"/>
            <c:spPr>
              <a:solidFill>
                <a:schemeClr val="accent3">
                  <a:shade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F3EF-4814-8E4B-37BC2917B173}"/>
              </c:ext>
            </c:extLst>
          </c:dPt>
          <c:dPt>
            <c:idx val="3"/>
            <c:bubble3D val="0"/>
            <c:spPr>
              <a:solidFill>
                <a:schemeClr val="accent3">
                  <a:shade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F3EF-4814-8E4B-37BC2917B173}"/>
              </c:ext>
            </c:extLst>
          </c:dPt>
          <c:dLbls>
            <c:dLbl>
              <c:idx val="0"/>
              <c:layout>
                <c:manualLayout>
                  <c:x val="6.328237095363079E-2"/>
                  <c:y val="1.855679498396029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EF-4814-8E4B-37BC2917B173}"/>
                </c:ext>
              </c:extLst>
            </c:dLbl>
            <c:dLbl>
              <c:idx val="1"/>
              <c:layout>
                <c:manualLayout>
                  <c:x val="6.0910761154855643E-2"/>
                  <c:y val="-6.630139982502186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3EF-4814-8E4B-37BC2917B173}"/>
                </c:ext>
              </c:extLst>
            </c:dLbl>
            <c:dLbl>
              <c:idx val="2"/>
              <c:layout>
                <c:manualLayout>
                  <c:x val="-5.592454068241471E-2"/>
                  <c:y val="4.32396471274423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3EF-4814-8E4B-37BC2917B173}"/>
                </c:ext>
              </c:extLst>
            </c:dLbl>
            <c:dLbl>
              <c:idx val="3"/>
              <c:layout>
                <c:manualLayout>
                  <c:x val="1.7219816272965829E-2"/>
                  <c:y val="-6.623906386701662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3EF-4814-8E4B-37BC2917B173}"/>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OBJECTIVE4!$A$4:$A$8</c:f>
              <c:strCache>
                <c:ptCount val="4"/>
                <c:pt idx="0">
                  <c:v>2021</c:v>
                </c:pt>
                <c:pt idx="1">
                  <c:v>2022</c:v>
                </c:pt>
                <c:pt idx="2">
                  <c:v>2023</c:v>
                </c:pt>
                <c:pt idx="3">
                  <c:v>2024</c:v>
                </c:pt>
              </c:strCache>
            </c:strRef>
          </c:cat>
          <c:val>
            <c:numRef>
              <c:f>OBJECTIVE4!$B$4:$B$8</c:f>
              <c:numCache>
                <c:formatCode>General</c:formatCode>
                <c:ptCount val="4"/>
                <c:pt idx="0">
                  <c:v>51</c:v>
                </c:pt>
                <c:pt idx="1">
                  <c:v>94</c:v>
                </c:pt>
                <c:pt idx="2">
                  <c:v>83</c:v>
                </c:pt>
                <c:pt idx="3">
                  <c:v>22</c:v>
                </c:pt>
              </c:numCache>
            </c:numRef>
          </c:val>
          <c:extLst>
            <c:ext xmlns:c16="http://schemas.microsoft.com/office/drawing/2014/chart" uri="{C3380CC4-5D6E-409C-BE32-E72D297353CC}">
              <c16:uniqueId val="{00000000-F3EF-4814-8E4B-37BC2917B173}"/>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[EXCEL_FINAL_PROJECT.xlsx]OBJECTIVE5!PivotTable7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3"/>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OBJECTIVE5!$B$3</c:f>
              <c:strCache>
                <c:ptCount val="1"/>
                <c:pt idx="0">
                  <c:v>Total</c:v>
                </c:pt>
              </c:strCache>
            </c:strRef>
          </c:tx>
          <c:spPr>
            <a:ln w="31750" cap="rnd">
              <a:solidFill>
                <a:schemeClr val="accent3"/>
              </a:solidFill>
              <a:round/>
            </a:ln>
            <a:effectLst/>
          </c:spPr>
          <c:marker>
            <c:symbol val="circle"/>
            <c:size val="17"/>
            <c:spPr>
              <a:solidFill>
                <a:schemeClr val="accent3"/>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OBJECTIVE5!$A$4:$A$16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OBJECTIVE5!$B$4:$B$16</c:f>
              <c:numCache>
                <c:formatCode>General</c:formatCode>
                <c:ptCount val="12"/>
                <c:pt idx="0">
                  <c:v>26</c:v>
                </c:pt>
                <c:pt idx="1">
                  <c:v>20</c:v>
                </c:pt>
                <c:pt idx="2">
                  <c:v>19</c:v>
                </c:pt>
                <c:pt idx="3">
                  <c:v>28</c:v>
                </c:pt>
                <c:pt idx="4">
                  <c:v>19</c:v>
                </c:pt>
                <c:pt idx="5">
                  <c:v>19</c:v>
                </c:pt>
                <c:pt idx="6">
                  <c:v>24</c:v>
                </c:pt>
                <c:pt idx="7">
                  <c:v>18</c:v>
                </c:pt>
                <c:pt idx="8">
                  <c:v>19</c:v>
                </c:pt>
                <c:pt idx="9">
                  <c:v>16</c:v>
                </c:pt>
                <c:pt idx="10">
                  <c:v>17</c:v>
                </c:pt>
                <c:pt idx="11">
                  <c:v>25</c:v>
                </c:pt>
              </c:numCache>
            </c:numRef>
          </c:val>
          <c:smooth val="0"/>
          <c:extLst>
            <c:ext xmlns:c16="http://schemas.microsoft.com/office/drawing/2014/chart" uri="{C3380CC4-5D6E-409C-BE32-E72D297353CC}">
              <c16:uniqueId val="{00000000-DF0F-41D8-B80D-A64CD80FD437}"/>
            </c:ext>
          </c:extLst>
        </c:ser>
        <c:dLbls>
          <c:dLblPos val="ctr"/>
          <c:showLegendKey val="0"/>
          <c:showVal val="1"/>
          <c:showCatName val="0"/>
          <c:showSerName val="0"/>
          <c:showPercent val="0"/>
          <c:showBubbleSize val="0"/>
        </c:dLbls>
        <c:marker val="1"/>
        <c:smooth val="0"/>
        <c:axId val="982347439"/>
        <c:axId val="982344559"/>
      </c:lineChart>
      <c:catAx>
        <c:axId val="9823474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982344559"/>
        <c:crosses val="autoZero"/>
        <c:auto val="1"/>
        <c:lblAlgn val="ctr"/>
        <c:lblOffset val="100"/>
        <c:noMultiLvlLbl val="0"/>
      </c:catAx>
      <c:valAx>
        <c:axId val="98234455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crossAx val="982347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withinLinearReversed" id="23">
  <a:schemeClr val="accent3"/>
</cs:colorStyle>
</file>

<file path=xl/charts/colors4.xml><?xml version="1.0" encoding="utf-8"?>
<cs:colorStyle xmlns:cs="http://schemas.microsoft.com/office/drawing/2012/chartStyle" xmlns:a="http://schemas.openxmlformats.org/drawingml/2006/main" meth="withinLinearReversed" id="23">
  <a:schemeClr val="accent3"/>
</cs:colorStyle>
</file>

<file path=xl/charts/colors5.xml><?xml version="1.0" encoding="utf-8"?>
<cs:colorStyle xmlns:cs="http://schemas.microsoft.com/office/drawing/2012/chartStyle" xmlns:a="http://schemas.openxmlformats.org/drawingml/2006/main" meth="withinLinearReversed" id="23">
  <a:schemeClr val="accent3"/>
</cs:colorStyle>
</file>

<file path=xl/charts/colors6.xml><?xml version="1.0" encoding="utf-8"?>
<cs:colorStyle xmlns:cs="http://schemas.microsoft.com/office/drawing/2012/chartStyle" xmlns:a="http://schemas.openxmlformats.org/drawingml/2006/main" meth="withinLinearReversed" id="23">
  <a:schemeClr val="accent3"/>
</cs:colorStyle>
</file>

<file path=xl/charts/colors7.xml><?xml version="1.0" encoding="utf-8"?>
<cs:colorStyle xmlns:cs="http://schemas.microsoft.com/office/drawing/2012/chartStyle" xmlns:a="http://schemas.openxmlformats.org/drawingml/2006/main" meth="withinLinearReversed" id="23">
  <a:schemeClr val="accent3"/>
</cs:colorStyle>
</file>

<file path=xl/charts/colors8.xml><?xml version="1.0" encoding="utf-8"?>
<cs:colorStyle xmlns:cs="http://schemas.microsoft.com/office/drawing/2012/chartStyle" xmlns:a="http://schemas.openxmlformats.org/drawingml/2006/main" meth="withinLinearReversed" id="23">
  <a:schemeClr val="accent3"/>
</cs:colorStyle>
</file>

<file path=xl/charts/colors9.xml><?xml version="1.0" encoding="utf-8"?>
<cs:colorStyle xmlns:cs="http://schemas.microsoft.com/office/drawing/2012/chartStyle" xmlns:a="http://schemas.openxmlformats.org/drawingml/2006/main" meth="withinLinearReversed" id="23">
  <a:schemeClr val="accent3"/>
</cs:colorStyle>
</file>

<file path=xl/charts/colors10.xml><?xml version="1.0" encoding="utf-8"?>
<cs:colorStyle xmlns:cs="http://schemas.microsoft.com/office/drawing/2012/chartStyle" xmlns:a="http://schemas.openxmlformats.org/drawingml/2006/main" meth="withinLinearReversed" id="23">
  <a:schemeClr val="accent3"/>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7</xdr:col>
      <xdr:colOff>594360</xdr:colOff>
      <xdr:row>1</xdr:row>
      <xdr:rowOff>45720</xdr:rowOff>
    </xdr:from>
    <xdr:to>
      <xdr:col>15</xdr:col>
      <xdr:colOff>289560</xdr:colOff>
      <xdr:row>16</xdr:row>
      <xdr:rowOff>0</xdr:rowOff>
    </xdr:to>
    <xdr:graphicFrame macro="">
      <xdr:nvGraphicFramePr>
        <xdr:cNvPr id="2" name="Chart 1">
          <a:extLst>
            <a:ext uri="{FF2B5EF4-FFF2-40B4-BE49-F238E27FC236}">
              <a16:creationId xmlns:a16="http://schemas.microsoft.com/office/drawing/2014/main" id="{CB10BD01-E8C5-4B67-9112-CDA1BE197A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464821</xdr:colOff>
      <xdr:row>1</xdr:row>
      <xdr:rowOff>30480</xdr:rowOff>
    </xdr:from>
    <xdr:to>
      <xdr:col>22</xdr:col>
      <xdr:colOff>593652</xdr:colOff>
      <xdr:row>15</xdr:row>
      <xdr:rowOff>354418</xdr:rowOff>
    </xdr:to>
    <xdr:graphicFrame macro="">
      <xdr:nvGraphicFramePr>
        <xdr:cNvPr id="3" name="Chart 2">
          <a:extLst>
            <a:ext uri="{FF2B5EF4-FFF2-40B4-BE49-F238E27FC236}">
              <a16:creationId xmlns:a16="http://schemas.microsoft.com/office/drawing/2014/main" id="{1D0AA865-EFF1-409D-85A7-F6B34A63B9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579120</xdr:colOff>
      <xdr:row>16</xdr:row>
      <xdr:rowOff>175260</xdr:rowOff>
    </xdr:from>
    <xdr:to>
      <xdr:col>15</xdr:col>
      <xdr:colOff>304800</xdr:colOff>
      <xdr:row>31</xdr:row>
      <xdr:rowOff>106326</xdr:rowOff>
    </xdr:to>
    <xdr:graphicFrame macro="">
      <xdr:nvGraphicFramePr>
        <xdr:cNvPr id="4" name="Chart 3">
          <a:extLst>
            <a:ext uri="{FF2B5EF4-FFF2-40B4-BE49-F238E27FC236}">
              <a16:creationId xmlns:a16="http://schemas.microsoft.com/office/drawing/2014/main" id="{AD1D0AE7-0A4D-4DC7-8D0F-EAD307882E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481302</xdr:colOff>
      <xdr:row>16</xdr:row>
      <xdr:rowOff>180222</xdr:rowOff>
    </xdr:from>
    <xdr:to>
      <xdr:col>23</xdr:col>
      <xdr:colOff>0</xdr:colOff>
      <xdr:row>31</xdr:row>
      <xdr:rowOff>124047</xdr:rowOff>
    </xdr:to>
    <xdr:graphicFrame macro="">
      <xdr:nvGraphicFramePr>
        <xdr:cNvPr id="5" name="Chart 4">
          <a:extLst>
            <a:ext uri="{FF2B5EF4-FFF2-40B4-BE49-F238E27FC236}">
              <a16:creationId xmlns:a16="http://schemas.microsoft.com/office/drawing/2014/main" id="{914FF95D-197B-41BB-A382-B65FB8FFF5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106680</xdr:colOff>
      <xdr:row>18</xdr:row>
      <xdr:rowOff>99060</xdr:rowOff>
    </xdr:from>
    <xdr:to>
      <xdr:col>7</xdr:col>
      <xdr:colOff>411480</xdr:colOff>
      <xdr:row>31</xdr:row>
      <xdr:rowOff>106680</xdr:rowOff>
    </xdr:to>
    <xdr:graphicFrame macro="">
      <xdr:nvGraphicFramePr>
        <xdr:cNvPr id="6" name="Chart 5">
          <a:extLst>
            <a:ext uri="{FF2B5EF4-FFF2-40B4-BE49-F238E27FC236}">
              <a16:creationId xmlns:a16="http://schemas.microsoft.com/office/drawing/2014/main" id="{8AB542F7-0994-494A-BD0C-9BF2B1A8DA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160020</xdr:colOff>
      <xdr:row>1</xdr:row>
      <xdr:rowOff>38102</xdr:rowOff>
    </xdr:from>
    <xdr:to>
      <xdr:col>2</xdr:col>
      <xdr:colOff>443023</xdr:colOff>
      <xdr:row>12</xdr:row>
      <xdr:rowOff>1</xdr:rowOff>
    </xdr:to>
    <mc:AlternateContent xmlns:mc="http://schemas.openxmlformats.org/markup-compatibility/2006">
      <mc:Choice xmlns:a14="http://schemas.microsoft.com/office/drawing/2010/main" Requires="a14">
        <xdr:graphicFrame macro="">
          <xdr:nvGraphicFramePr>
            <xdr:cNvPr id="7" name="Months (Date) 1">
              <a:extLst>
                <a:ext uri="{FF2B5EF4-FFF2-40B4-BE49-F238E27FC236}">
                  <a16:creationId xmlns:a16="http://schemas.microsoft.com/office/drawing/2014/main" id="{5D529542-7782-4CC4-BB69-325C99B9357C}"/>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dr:sp macro="" textlink="">
          <xdr:nvSpPr>
            <xdr:cNvPr id="0" name=""/>
            <xdr:cNvSpPr>
              <a:spLocks noTextEdit="1"/>
            </xdr:cNvSpPr>
          </xdr:nvSpPr>
          <xdr:spPr>
            <a:xfrm>
              <a:off x="160020" y="339358"/>
              <a:ext cx="2887980" cy="20086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177211</xdr:colOff>
      <xdr:row>1</xdr:row>
      <xdr:rowOff>68580</xdr:rowOff>
    </xdr:from>
    <xdr:to>
      <xdr:col>7</xdr:col>
      <xdr:colOff>364699</xdr:colOff>
      <xdr:row>11</xdr:row>
      <xdr:rowOff>15240</xdr:rowOff>
    </xdr:to>
    <mc:AlternateContent xmlns:mc="http://schemas.openxmlformats.org/markup-compatibility/2006">
      <mc:Choice xmlns:a14="http://schemas.microsoft.com/office/drawing/2010/main" Requires="a14">
        <xdr:graphicFrame macro="">
          <xdr:nvGraphicFramePr>
            <xdr:cNvPr id="8" name="Region 1">
              <a:extLst>
                <a:ext uri="{FF2B5EF4-FFF2-40B4-BE49-F238E27FC236}">
                  <a16:creationId xmlns:a16="http://schemas.microsoft.com/office/drawing/2014/main" id="{FC8771F4-9BFD-4F54-B47C-75C0231BFC6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393560" y="369836"/>
              <a:ext cx="2632976" cy="18073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203791</xdr:colOff>
      <xdr:row>12</xdr:row>
      <xdr:rowOff>24279</xdr:rowOff>
    </xdr:from>
    <xdr:to>
      <xdr:col>7</xdr:col>
      <xdr:colOff>397659</xdr:colOff>
      <xdr:row>17</xdr:row>
      <xdr:rowOff>55998</xdr:rowOff>
    </xdr:to>
    <mc:AlternateContent xmlns:mc="http://schemas.openxmlformats.org/markup-compatibility/2006">
      <mc:Choice xmlns:a14="http://schemas.microsoft.com/office/drawing/2010/main" Requires="a14">
        <xdr:graphicFrame macro="">
          <xdr:nvGraphicFramePr>
            <xdr:cNvPr id="9" name="Category 1">
              <a:extLst>
                <a:ext uri="{FF2B5EF4-FFF2-40B4-BE49-F238E27FC236}">
                  <a16:creationId xmlns:a16="http://schemas.microsoft.com/office/drawing/2014/main" id="{9FC0A8B5-D252-4035-BADA-75B4CB30721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3420140" y="2372302"/>
              <a:ext cx="2639356" cy="13164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584792</xdr:colOff>
      <xdr:row>16</xdr:row>
      <xdr:rowOff>168348</xdr:rowOff>
    </xdr:from>
    <xdr:to>
      <xdr:col>8</xdr:col>
      <xdr:colOff>460746</xdr:colOff>
      <xdr:row>19</xdr:row>
      <xdr:rowOff>97465</xdr:rowOff>
    </xdr:to>
    <xdr:pic>
      <xdr:nvPicPr>
        <xdr:cNvPr id="11" name="Graphic 10" descr="Bar chart with solid fill">
          <a:extLst>
            <a:ext uri="{FF2B5EF4-FFF2-40B4-BE49-F238E27FC236}">
              <a16:creationId xmlns:a16="http://schemas.microsoft.com/office/drawing/2014/main" id="{81A1F854-F5D8-C7FD-0EC7-2C164E8E156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93466" y="3615069"/>
          <a:ext cx="487326" cy="487326"/>
        </a:xfrm>
        <a:prstGeom prst="rect">
          <a:avLst/>
        </a:prstGeom>
      </xdr:spPr>
    </xdr:pic>
    <xdr:clientData/>
  </xdr:twoCellAnchor>
  <xdr:twoCellAnchor editAs="oneCell">
    <xdr:from>
      <xdr:col>15</xdr:col>
      <xdr:colOff>539862</xdr:colOff>
      <xdr:row>16</xdr:row>
      <xdr:rowOff>176583</xdr:rowOff>
    </xdr:from>
    <xdr:to>
      <xdr:col>16</xdr:col>
      <xdr:colOff>416442</xdr:colOff>
      <xdr:row>19</xdr:row>
      <xdr:rowOff>106326</xdr:rowOff>
    </xdr:to>
    <xdr:pic>
      <xdr:nvPicPr>
        <xdr:cNvPr id="13" name="Graphic 12" descr="Pie chart with solid fill">
          <a:extLst>
            <a:ext uri="{FF2B5EF4-FFF2-40B4-BE49-F238E27FC236}">
              <a16:creationId xmlns:a16="http://schemas.microsoft.com/office/drawing/2014/main" id="{411D75E0-5021-0B41-C196-D8231F9CD1C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039513" y="3623304"/>
          <a:ext cx="487952" cy="487952"/>
        </a:xfrm>
        <a:prstGeom prst="rect">
          <a:avLst/>
        </a:prstGeom>
      </xdr:spPr>
    </xdr:pic>
    <xdr:clientData/>
  </xdr:twoCellAnchor>
  <xdr:twoCellAnchor editAs="oneCell">
    <xdr:from>
      <xdr:col>1</xdr:col>
      <xdr:colOff>106326</xdr:colOff>
      <xdr:row>15</xdr:row>
      <xdr:rowOff>0</xdr:rowOff>
    </xdr:from>
    <xdr:to>
      <xdr:col>1</xdr:col>
      <xdr:colOff>505047</xdr:colOff>
      <xdr:row>16</xdr:row>
      <xdr:rowOff>35442</xdr:rowOff>
    </xdr:to>
    <xdr:pic>
      <xdr:nvPicPr>
        <xdr:cNvPr id="15" name="Graphic 14" descr="Rupee with solid fill">
          <a:extLst>
            <a:ext uri="{FF2B5EF4-FFF2-40B4-BE49-F238E27FC236}">
              <a16:creationId xmlns:a16="http://schemas.microsoft.com/office/drawing/2014/main" id="{33DA58A5-28BA-751D-7637-9D46FC2FB58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17698" y="3083442"/>
          <a:ext cx="398721" cy="398721"/>
        </a:xfrm>
        <a:prstGeom prst="rect">
          <a:avLst/>
        </a:prstGeom>
      </xdr:spPr>
    </xdr:pic>
    <xdr:clientData/>
  </xdr:twoCellAnchor>
  <xdr:twoCellAnchor editAs="oneCell">
    <xdr:from>
      <xdr:col>8</xdr:col>
      <xdr:colOff>70884</xdr:colOff>
      <xdr:row>1</xdr:row>
      <xdr:rowOff>44302</xdr:rowOff>
    </xdr:from>
    <xdr:to>
      <xdr:col>8</xdr:col>
      <xdr:colOff>584791</xdr:colOff>
      <xdr:row>4</xdr:row>
      <xdr:rowOff>0</xdr:rowOff>
    </xdr:to>
    <xdr:pic>
      <xdr:nvPicPr>
        <xdr:cNvPr id="17" name="Graphic 16" descr="Monitor with solid fill">
          <a:extLst>
            <a:ext uri="{FF2B5EF4-FFF2-40B4-BE49-F238E27FC236}">
              <a16:creationId xmlns:a16="http://schemas.microsoft.com/office/drawing/2014/main" id="{B077A3EF-5007-338E-D189-2192797CFF1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344093" y="345558"/>
          <a:ext cx="513907" cy="513907"/>
        </a:xfrm>
        <a:prstGeom prst="rect">
          <a:avLst/>
        </a:prstGeom>
      </xdr:spPr>
    </xdr:pic>
    <xdr:clientData/>
  </xdr:twoCellAnchor>
  <xdr:twoCellAnchor editAs="oneCell">
    <xdr:from>
      <xdr:col>15</xdr:col>
      <xdr:colOff>513280</xdr:colOff>
      <xdr:row>1</xdr:row>
      <xdr:rowOff>25953</xdr:rowOff>
    </xdr:from>
    <xdr:to>
      <xdr:col>16</xdr:col>
      <xdr:colOff>416443</xdr:colOff>
      <xdr:row>3</xdr:row>
      <xdr:rowOff>168349</xdr:rowOff>
    </xdr:to>
    <xdr:pic>
      <xdr:nvPicPr>
        <xdr:cNvPr id="19" name="Graphic 18" descr="Circular flowchart with solid fill">
          <a:extLst>
            <a:ext uri="{FF2B5EF4-FFF2-40B4-BE49-F238E27FC236}">
              <a16:creationId xmlns:a16="http://schemas.microsoft.com/office/drawing/2014/main" id="{D4511680-4375-6A20-9064-087C2C74943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1066094" y="327209"/>
          <a:ext cx="514535" cy="5145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304800</xdr:colOff>
      <xdr:row>8</xdr:row>
      <xdr:rowOff>133350</xdr:rowOff>
    </xdr:from>
    <xdr:to>
      <xdr:col>11</xdr:col>
      <xdr:colOff>0</xdr:colOff>
      <xdr:row>23</xdr:row>
      <xdr:rowOff>133350</xdr:rowOff>
    </xdr:to>
    <xdr:graphicFrame macro="">
      <xdr:nvGraphicFramePr>
        <xdr:cNvPr id="2" name="Chart 1">
          <a:extLst>
            <a:ext uri="{FF2B5EF4-FFF2-40B4-BE49-F238E27FC236}">
              <a16:creationId xmlns:a16="http://schemas.microsoft.com/office/drawing/2014/main" id="{5D4B6847-B534-8BB7-4568-DB9710B3FF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594360</xdr:colOff>
      <xdr:row>8</xdr:row>
      <xdr:rowOff>133350</xdr:rowOff>
    </xdr:from>
    <xdr:to>
      <xdr:col>11</xdr:col>
      <xdr:colOff>289560</xdr:colOff>
      <xdr:row>23</xdr:row>
      <xdr:rowOff>133350</xdr:rowOff>
    </xdr:to>
    <xdr:graphicFrame macro="">
      <xdr:nvGraphicFramePr>
        <xdr:cNvPr id="2" name="Chart 1">
          <a:extLst>
            <a:ext uri="{FF2B5EF4-FFF2-40B4-BE49-F238E27FC236}">
              <a16:creationId xmlns:a16="http://schemas.microsoft.com/office/drawing/2014/main" id="{714024FC-69E7-F441-8A94-BB7C5CF85B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952500</xdr:colOff>
      <xdr:row>9</xdr:row>
      <xdr:rowOff>163830</xdr:rowOff>
    </xdr:from>
    <xdr:to>
      <xdr:col>9</xdr:col>
      <xdr:colOff>281940</xdr:colOff>
      <xdr:row>24</xdr:row>
      <xdr:rowOff>163830</xdr:rowOff>
    </xdr:to>
    <xdr:graphicFrame macro="">
      <xdr:nvGraphicFramePr>
        <xdr:cNvPr id="2" name="Chart 1">
          <a:extLst>
            <a:ext uri="{FF2B5EF4-FFF2-40B4-BE49-F238E27FC236}">
              <a16:creationId xmlns:a16="http://schemas.microsoft.com/office/drawing/2014/main" id="{04EF440C-5895-922C-D312-A605432938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533400</xdr:colOff>
      <xdr:row>2</xdr:row>
      <xdr:rowOff>152400</xdr:rowOff>
    </xdr:from>
    <xdr:to>
      <xdr:col>12</xdr:col>
      <xdr:colOff>533400</xdr:colOff>
      <xdr:row>16</xdr:row>
      <xdr:rowOff>173355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7CFE113D-D36A-029D-F632-1B39D638713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629400" y="5181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182880</xdr:colOff>
      <xdr:row>2</xdr:row>
      <xdr:rowOff>121920</xdr:rowOff>
    </xdr:from>
    <xdr:to>
      <xdr:col>16</xdr:col>
      <xdr:colOff>182880</xdr:colOff>
      <xdr:row>16</xdr:row>
      <xdr:rowOff>142875</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728FCA00-4E77-4377-08DD-AF0F40AE922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717280" y="4876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388620</xdr:colOff>
      <xdr:row>8</xdr:row>
      <xdr:rowOff>133350</xdr:rowOff>
    </xdr:from>
    <xdr:to>
      <xdr:col>11</xdr:col>
      <xdr:colOff>83820</xdr:colOff>
      <xdr:row>23</xdr:row>
      <xdr:rowOff>133350</xdr:rowOff>
    </xdr:to>
    <xdr:graphicFrame macro="">
      <xdr:nvGraphicFramePr>
        <xdr:cNvPr id="2" name="Chart 1">
          <a:extLst>
            <a:ext uri="{FF2B5EF4-FFF2-40B4-BE49-F238E27FC236}">
              <a16:creationId xmlns:a16="http://schemas.microsoft.com/office/drawing/2014/main" id="{50007CD1-3CA9-EA0B-1DA1-A956444929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525780</xdr:colOff>
      <xdr:row>8</xdr:row>
      <xdr:rowOff>133350</xdr:rowOff>
    </xdr:from>
    <xdr:to>
      <xdr:col>8</xdr:col>
      <xdr:colOff>487680</xdr:colOff>
      <xdr:row>23</xdr:row>
      <xdr:rowOff>133350</xdr:rowOff>
    </xdr:to>
    <xdr:graphicFrame macro="">
      <xdr:nvGraphicFramePr>
        <xdr:cNvPr id="2" name="Chart 1">
          <a:extLst>
            <a:ext uri="{FF2B5EF4-FFF2-40B4-BE49-F238E27FC236}">
              <a16:creationId xmlns:a16="http://schemas.microsoft.com/office/drawing/2014/main" id="{8531FF7D-3AF8-2AF6-FFC7-BD54B2947E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510540</xdr:colOff>
      <xdr:row>3</xdr:row>
      <xdr:rowOff>45720</xdr:rowOff>
    </xdr:from>
    <xdr:to>
      <xdr:col>12</xdr:col>
      <xdr:colOff>510540</xdr:colOff>
      <xdr:row>17</xdr:row>
      <xdr:rowOff>66675</xdr:rowOff>
    </xdr:to>
    <mc:AlternateContent xmlns:mc="http://schemas.openxmlformats.org/markup-compatibility/2006">
      <mc:Choice xmlns:a14="http://schemas.microsoft.com/office/drawing/2010/main" Requires="a14">
        <xdr:graphicFrame macro="">
          <xdr:nvGraphicFramePr>
            <xdr:cNvPr id="3" name="Months (Date)">
              <a:extLst>
                <a:ext uri="{FF2B5EF4-FFF2-40B4-BE49-F238E27FC236}">
                  <a16:creationId xmlns:a16="http://schemas.microsoft.com/office/drawing/2014/main" id="{CFE9F608-9559-9865-307E-D59893753D1F}"/>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8145780" y="5943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than Tanaaz" refreshedDate="46011.954898611111" createdVersion="8" refreshedVersion="8" minRefreshableVersion="3" recordCount="250" xr:uid="{52205EF1-CB77-40E0-ACC4-AA6CC6F80C48}">
  <cacheSource type="worksheet">
    <worksheetSource ref="A1:N251" sheet="Final_Project_Dataset"/>
  </cacheSource>
  <cacheFields count="20">
    <cacheField name="Transaction_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9"/>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acheField>
    <cacheField name="Customer_Since" numFmtId="14">
      <sharedItems containsSemiMixedTypes="0" containsNonDate="0" containsDate="1" containsString="0" minDate="2021-07-18T00:00:00" maxDate="2024-04-12T00:00:00" count="223">
        <d v="2021-08-17T00:00:00"/>
        <d v="2022-01-14T00:00:00"/>
        <d v="2023-12-02T00:00:00"/>
        <d v="2023-07-07T00:00:00"/>
        <d v="2024-01-04T00:00:00"/>
        <d v="2022-07-04T00:00:00"/>
        <d v="2021-08-10T00:00:00"/>
        <d v="2023-03-22T00:00:00"/>
        <d v="2024-01-08T00:00:00"/>
        <d v="2023-10-08T00:00:00"/>
        <d v="2023-06-26T00:00:00"/>
        <d v="2022-09-26T00:00:00"/>
        <d v="2022-09-02T00:00:00"/>
        <d v="2024-02-29T00:00:00"/>
        <d v="2022-01-16T00:00:00"/>
        <d v="2022-12-25T00:00:00"/>
        <d v="2024-03-23T00:00:00"/>
        <d v="2022-08-08T00:00:00"/>
        <d v="2024-02-05T00:00:00"/>
        <d v="2023-10-25T00:00:00"/>
        <d v="2023-08-29T00:00:00"/>
        <d v="2021-08-01T00:00:00"/>
        <d v="2021-09-29T00:00:00"/>
        <d v="2022-06-04T00:00:00"/>
        <d v="2021-11-25T00:00:00"/>
        <d v="2023-08-30T00:00:00"/>
        <d v="2023-03-27T00:00:00"/>
        <d v="2022-12-24T00:00:00"/>
        <d v="2023-10-15T00:00:00"/>
        <d v="2022-11-02T00:00:00"/>
        <d v="2021-08-04T00:00:00"/>
        <d v="2022-09-19T00:00:00"/>
        <d v="2023-05-22T00:00:00"/>
        <d v="2022-01-17T00:00:00"/>
        <d v="2022-09-20T00:00:00"/>
        <d v="2023-04-30T00:00:00"/>
        <d v="2024-01-01T00:00:00"/>
        <d v="2021-07-30T00:00:00"/>
        <d v="2023-07-13T00:00:00"/>
        <d v="2022-12-22T00:00:00"/>
        <d v="2024-04-08T00:00:00"/>
        <d v="2023-08-03T00:00:00"/>
        <d v="2022-01-26T00:00:00"/>
        <d v="2022-05-26T00:00:00"/>
        <d v="2022-01-21T00:00:00"/>
        <d v="2022-03-25T00:00:00"/>
        <d v="2021-08-27T00:00:00"/>
        <d v="2022-01-18T00:00:00"/>
        <d v="2021-10-02T00:00:00"/>
        <d v="2023-02-17T00:00:00"/>
        <d v="2023-12-18T00:00:00"/>
        <d v="2023-09-21T00:00:00"/>
        <d v="2023-11-23T00:00:00"/>
        <d v="2023-12-21T00:00:00"/>
        <d v="2024-03-01T00:00:00"/>
        <d v="2021-08-30T00:00:00"/>
        <d v="2023-06-25T00:00:00"/>
        <d v="2023-03-08T00:00:00"/>
        <d v="2022-10-17T00:00:00"/>
        <d v="2023-12-15T00:00:00"/>
        <d v="2022-08-29T00:00:00"/>
        <d v="2022-02-19T00:00:00"/>
        <d v="2023-02-24T00:00:00"/>
        <d v="2021-08-13T00:00:00"/>
        <d v="2024-04-07T00:00:00"/>
        <d v="2023-08-23T00:00:00"/>
        <d v="2021-11-09T00:00:00"/>
        <d v="2022-12-14T00:00:00"/>
        <d v="2022-11-26T00:00:00"/>
        <d v="2021-12-11T00:00:00"/>
        <d v="2023-07-23T00:00:00"/>
        <d v="2023-09-30T00:00:00"/>
        <d v="2023-11-24T00:00:00"/>
        <d v="2023-09-10T00:00:00"/>
        <d v="2022-12-04T00:00:00"/>
        <d v="2023-08-14T00:00:00"/>
        <d v="2023-07-20T00:00:00"/>
        <d v="2023-08-26T00:00:00"/>
        <d v="2023-02-25T00:00:00"/>
        <d v="2023-02-19T00:00:00"/>
        <d v="2022-06-20T00:00:00"/>
        <d v="2023-03-14T00:00:00"/>
        <d v="2021-11-23T00:00:00"/>
        <d v="2021-12-12T00:00:00"/>
        <d v="2022-04-16T00:00:00"/>
        <d v="2024-04-11T00:00:00"/>
        <d v="2023-02-08T00:00:00"/>
        <d v="2022-09-16T00:00:00"/>
        <d v="2022-08-09T00:00:00"/>
        <d v="2021-09-26T00:00:00"/>
        <d v="2021-09-19T00:00:00"/>
        <d v="2023-03-06T00:00:00"/>
        <d v="2023-02-15T00:00:00"/>
        <d v="2021-11-26T00:00:00"/>
        <d v="2022-01-13T00:00:00"/>
        <d v="2024-01-19T00:00:00"/>
        <d v="2022-08-06T00:00:00"/>
        <d v="2022-01-11T00:00:00"/>
        <d v="2021-10-28T00:00:00"/>
        <d v="2023-10-13T00:00:00"/>
        <d v="2022-05-04T00:00:00"/>
        <d v="2024-02-10T00:00:00"/>
        <d v="2022-11-05T00:00:00"/>
        <d v="2022-06-05T00:00:00"/>
        <d v="2022-07-06T00:00:00"/>
        <d v="2021-11-30T00:00:00"/>
        <d v="2022-05-12T00:00:00"/>
        <d v="2021-10-25T00:00:00"/>
        <d v="2022-03-21T00:00:00"/>
        <d v="2021-09-07T00:00:00"/>
        <d v="2021-10-13T00:00:00"/>
        <d v="2022-02-26T00:00:00"/>
        <d v="2023-08-19T00:00:00"/>
        <d v="2022-11-21T00:00:00"/>
        <d v="2022-01-08T00:00:00"/>
        <d v="2023-01-27T00:00:00"/>
        <d v="2021-09-21T00:00:00"/>
        <d v="2023-05-30T00:00:00"/>
        <d v="2023-12-14T00:00:00"/>
        <d v="2023-01-14T00:00:00"/>
        <d v="2023-09-05T00:00:00"/>
        <d v="2023-10-16T00:00:00"/>
        <d v="2023-03-23T00:00:00"/>
        <d v="2024-04-03T00:00:00"/>
        <d v="2024-03-18T00:00:00"/>
        <d v="2022-12-21T00:00:00"/>
        <d v="2021-12-21T00:00:00"/>
        <d v="2021-10-04T00:00:00"/>
        <d v="2023-03-07T00:00:00"/>
        <d v="2022-03-15T00:00:00"/>
        <d v="2022-02-23T00:00:00"/>
        <d v="2022-11-16T00:00:00"/>
        <d v="2021-11-02T00:00:00"/>
        <d v="2021-08-12T00:00:00"/>
        <d v="2022-10-14T00:00:00"/>
        <d v="2022-09-24T00:00:00"/>
        <d v="2022-07-27T00:00:00"/>
        <d v="2022-05-13T00:00:00"/>
        <d v="2022-04-08T00:00:00"/>
        <d v="2022-12-06T00:00:00"/>
        <d v="2023-11-30T00:00:00"/>
        <d v="2022-11-04T00:00:00"/>
        <d v="2022-07-28T00:00:00"/>
        <d v="2021-08-19T00:00:00"/>
        <d v="2021-12-30T00:00:00"/>
        <d v="2022-01-22T00:00:00"/>
        <d v="2022-11-08T00:00:00"/>
        <d v="2023-06-24T00:00:00"/>
        <d v="2021-10-16T00:00:00"/>
        <d v="2021-10-06T00:00:00"/>
        <d v="2023-01-18T00:00:00"/>
        <d v="2023-06-21T00:00:00"/>
        <d v="2022-05-22T00:00:00"/>
        <d v="2021-07-19T00:00:00"/>
        <d v="2023-05-06T00:00:00"/>
        <d v="2022-12-26T00:00:00"/>
        <d v="2021-07-29T00:00:00"/>
        <d v="2023-10-01T00:00:00"/>
        <d v="2022-06-12T00:00:00"/>
        <d v="2023-09-22T00:00:00"/>
        <d v="2022-07-18T00:00:00"/>
        <d v="2022-03-05T00:00:00"/>
        <d v="2023-11-09T00:00:00"/>
        <d v="2023-12-20T00:00:00"/>
        <d v="2021-11-22T00:00:00"/>
        <d v="2022-06-09T00:00:00"/>
        <d v="2022-07-29T00:00:00"/>
        <d v="2022-01-30T00:00:00"/>
        <d v="2024-02-25T00:00:00"/>
        <d v="2023-05-04T00:00:00"/>
        <d v="2022-01-03T00:00:00"/>
        <d v="2022-07-10T00:00:00"/>
        <d v="2021-08-14T00:00:00"/>
        <d v="2023-06-28T00:00:00"/>
        <d v="2022-03-13T00:00:00"/>
        <d v="2024-02-08T00:00:00"/>
        <d v="2021-12-06T00:00:00"/>
        <d v="2022-02-10T00:00:00"/>
        <d v="2024-01-31T00:00:00"/>
        <d v="2021-08-28T00:00:00"/>
        <d v="2022-12-18T00:00:00"/>
        <d v="2023-10-05T00:00:00"/>
        <d v="2021-12-14T00:00:00"/>
        <d v="2021-08-23T00:00:00"/>
        <d v="2021-07-18T00:00:00"/>
        <d v="2022-03-22T00:00:00"/>
        <d v="2023-10-18T00:00:00"/>
        <d v="2022-06-22T00:00:00"/>
        <d v="2023-01-26T00:00:00"/>
        <d v="2022-04-30T00:00:00"/>
        <d v="2022-05-11T00:00:00"/>
        <d v="2022-08-04T00:00:00"/>
        <d v="2024-01-16T00:00:00"/>
        <d v="2023-04-29T00:00:00"/>
        <d v="2023-02-02T00:00:00"/>
        <d v="2023-09-08T00:00:00"/>
        <d v="2022-06-23T00:00:00"/>
        <d v="2023-11-27T00:00:00"/>
        <d v="2022-06-16T00:00:00"/>
        <d v="2022-02-21T00:00:00"/>
        <d v="2023-08-04T00:00:00"/>
        <d v="2023-01-08T00:00:00"/>
        <d v="2023-08-02T00:00:00"/>
        <d v="2022-01-12T00:00:00"/>
        <d v="2023-05-24T00:00:00"/>
        <d v="2022-01-15T00:00:00"/>
        <d v="2023-12-31T00:00:00"/>
        <d v="2021-12-10T00:00:00"/>
        <d v="2022-03-12T00:00:00"/>
        <d v="2023-12-03T00:00:00"/>
        <d v="2023-07-10T00:00:00"/>
        <d v="2023-09-24T00:00:00"/>
        <d v="2023-11-03T00:00:00"/>
        <d v="2022-11-11T00:00:00"/>
        <d v="2023-02-18T00:00:00"/>
        <d v="2023-11-04T00:00:00"/>
        <d v="2023-12-28T00:00:00"/>
        <d v="2022-05-23T00:00:00"/>
        <d v="2023-09-02T00:00:00"/>
        <d v="2021-11-11T00:00:00"/>
        <d v="2024-02-24T00:00:00"/>
        <d v="2023-06-11T00:00:00"/>
        <d v="2022-11-13T00:00:00"/>
      </sharedItems>
      <fieldGroup par="16"/>
    </cacheField>
    <cacheField name="Total_Amount" numFmtId="0">
      <sharedItems containsSemiMixedTypes="0" containsString="0" containsNumber="1" minValue="59.99" maxValue="4499.95"/>
    </cacheField>
    <cacheField name="Months (Customer_Since)" numFmtId="0" databaseField="0">
      <fieldGroup base="12">
        <rangePr groupBy="months" startDate="2021-07-18T00:00:00" endDate="2024-04-12T00:00:00"/>
        <groupItems count="14">
          <s v="&lt;7/18/2021"/>
          <s v="Jan"/>
          <s v="Feb"/>
          <s v="Mar"/>
          <s v="Apr"/>
          <s v="May"/>
          <s v="Jun"/>
          <s v="Jul"/>
          <s v="Aug"/>
          <s v="Sep"/>
          <s v="Oct"/>
          <s v="Nov"/>
          <s v="Dec"/>
          <s v="&gt;4/12/2024"/>
        </groupItems>
      </fieldGroup>
    </cacheField>
    <cacheField name="Quarters (Customer_Since)" numFmtId="0" databaseField="0">
      <fieldGroup base="12">
        <rangePr groupBy="quarters" startDate="2021-07-18T00:00:00" endDate="2024-04-12T00:00:00"/>
        <groupItems count="6">
          <s v="&lt;7/18/2021"/>
          <s v="Qtr1"/>
          <s v="Qtr2"/>
          <s v="Qtr3"/>
          <s v="Qtr4"/>
          <s v="&gt;4/12/2024"/>
        </groupItems>
      </fieldGroup>
    </cacheField>
    <cacheField name="Years (Customer_Since)" numFmtId="0" databaseField="0">
      <fieldGroup base="12">
        <rangePr groupBy="years" startDate="2021-07-18T00:00:00" endDate="2024-04-12T00:00:00"/>
        <groupItems count="6">
          <s v="&lt;7/18/2021"/>
          <s v="2021"/>
          <s v="2022"/>
          <s v="2023"/>
          <s v="2024"/>
          <s v="&gt;4/12/2024"/>
        </groupItems>
      </fieldGroup>
    </cacheField>
    <cacheField name="Months (Date)" numFmtId="0" databaseField="0">
      <fieldGroup base="1">
        <rangePr groupBy="months" startDate="2024-04-11T00:00:00" endDate="2025-04-12T00:00:00"/>
        <groupItems count="14">
          <s v="&lt;4/11/2024"/>
          <s v="Jan"/>
          <s v="Feb"/>
          <s v="Mar"/>
          <s v="Apr"/>
          <s v="May"/>
          <s v="Jun"/>
          <s v="Jul"/>
          <s v="Aug"/>
          <s v="Sep"/>
          <s v="Oct"/>
          <s v="Nov"/>
          <s v="Dec"/>
          <s v="&gt;4/12/2025"/>
        </groupItems>
      </fieldGroup>
    </cacheField>
    <cacheField name="Quarters (Date)" numFmtId="0" databaseField="0">
      <fieldGroup base="1">
        <rangePr groupBy="quarters" startDate="2024-04-11T00:00:00" endDate="2025-04-12T00:00:00"/>
        <groupItems count="6">
          <s v="&lt;4/11/2024"/>
          <s v="Qtr1"/>
          <s v="Qtr2"/>
          <s v="Qtr3"/>
          <s v="Qtr4"/>
          <s v="&gt;4/12/2025"/>
        </groupItems>
      </fieldGroup>
    </cacheField>
    <cacheField name="Years (Date)" numFmtId="0" databaseField="0">
      <fieldGroup base="1">
        <rangePr groupBy="years" startDate="2024-04-11T00:00:00" endDate="2025-04-12T00:00:00"/>
        <groupItems count="4">
          <s v="&lt;4/11/2024"/>
          <s v="2024"/>
          <s v="2025"/>
          <s v="&gt;4/12/2025"/>
        </groupItems>
      </fieldGroup>
    </cacheField>
  </cacheFields>
  <extLst>
    <ext xmlns:x14="http://schemas.microsoft.com/office/spreadsheetml/2009/9/main" uri="{725AE2AE-9491-48be-B2B4-4EB974FC3084}">
      <x14:pivotCacheDefinition pivotCacheId="14997709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x v="0"/>
    <s v="P009"/>
    <x v="0"/>
    <x v="0"/>
    <n v="3"/>
    <n v="249.99"/>
    <x v="0"/>
    <x v="0"/>
    <s v="Basic"/>
    <x v="0"/>
    <n v="749.97"/>
  </r>
  <r>
    <s v="TRX0023"/>
    <x v="1"/>
    <s v="CUST013"/>
    <x v="1"/>
    <s v="P009"/>
    <x v="0"/>
    <x v="0"/>
    <n v="3"/>
    <n v="249.99"/>
    <x v="1"/>
    <x v="0"/>
    <s v="Premium"/>
    <x v="1"/>
    <n v="749.97"/>
  </r>
  <r>
    <s v="TRX0139"/>
    <x v="2"/>
    <s v="CUST021"/>
    <x v="2"/>
    <s v="P005"/>
    <x v="1"/>
    <x v="1"/>
    <n v="3"/>
    <n v="59.99"/>
    <x v="2"/>
    <x v="1"/>
    <s v="Standard"/>
    <x v="2"/>
    <n v="179.97"/>
  </r>
  <r>
    <s v="TRX0043"/>
    <x v="3"/>
    <s v="CUST046"/>
    <x v="3"/>
    <s v="P005"/>
    <x v="1"/>
    <x v="1"/>
    <n v="3"/>
    <n v="59.99"/>
    <x v="0"/>
    <x v="2"/>
    <s v="Premium"/>
    <x v="3"/>
    <n v="179.97"/>
  </r>
  <r>
    <s v="TRX0212"/>
    <x v="3"/>
    <s v="CUST003"/>
    <x v="4"/>
    <s v="P008"/>
    <x v="2"/>
    <x v="2"/>
    <n v="5"/>
    <n v="149.99"/>
    <x v="1"/>
    <x v="2"/>
    <s v="Premium"/>
    <x v="4"/>
    <n v="749.95"/>
  </r>
  <r>
    <s v="TRX0092"/>
    <x v="4"/>
    <s v="CUST024"/>
    <x v="5"/>
    <s v="P005"/>
    <x v="1"/>
    <x v="1"/>
    <n v="2"/>
    <n v="59.99"/>
    <x v="0"/>
    <x v="3"/>
    <s v="Standard"/>
    <x v="5"/>
    <n v="119.98"/>
  </r>
  <r>
    <s v="TRX0193"/>
    <x v="4"/>
    <s v="CUST024"/>
    <x v="5"/>
    <s v="P003"/>
    <x v="3"/>
    <x v="0"/>
    <n v="5"/>
    <n v="149.99"/>
    <x v="1"/>
    <x v="0"/>
    <s v="Standard"/>
    <x v="6"/>
    <n v="749.95"/>
  </r>
  <r>
    <s v="TRX0240"/>
    <x v="4"/>
    <s v="CUST017"/>
    <x v="6"/>
    <s v="P005"/>
    <x v="1"/>
    <x v="1"/>
    <n v="3"/>
    <n v="59.99"/>
    <x v="3"/>
    <x v="1"/>
    <s v="Basic"/>
    <x v="7"/>
    <n v="179.97"/>
  </r>
  <r>
    <s v="TRX0135"/>
    <x v="5"/>
    <s v="CUST009"/>
    <x v="7"/>
    <s v="P001"/>
    <x v="4"/>
    <x v="0"/>
    <n v="3"/>
    <n v="899.99"/>
    <x v="2"/>
    <x v="4"/>
    <s v="Standard"/>
    <x v="8"/>
    <n v="2699.97"/>
  </r>
  <r>
    <s v="TRX0185"/>
    <x v="6"/>
    <s v="CUST026"/>
    <x v="8"/>
    <s v="P005"/>
    <x v="1"/>
    <x v="1"/>
    <n v="3"/>
    <n v="59.99"/>
    <x v="0"/>
    <x v="3"/>
    <s v="Premium"/>
    <x v="9"/>
    <n v="179.97"/>
  </r>
  <r>
    <s v="TRX0138"/>
    <x v="6"/>
    <s v="CUST022"/>
    <x v="9"/>
    <s v="P008"/>
    <x v="2"/>
    <x v="2"/>
    <n v="1"/>
    <n v="149.99"/>
    <x v="1"/>
    <x v="3"/>
    <s v="Standard"/>
    <x v="10"/>
    <n v="149.99"/>
  </r>
  <r>
    <s v="TRX0209"/>
    <x v="6"/>
    <s v="CUST046"/>
    <x v="3"/>
    <s v="P008"/>
    <x v="2"/>
    <x v="2"/>
    <n v="5"/>
    <n v="149.99"/>
    <x v="3"/>
    <x v="2"/>
    <s v="Basic"/>
    <x v="11"/>
    <n v="749.95"/>
  </r>
  <r>
    <s v="TRX0246"/>
    <x v="6"/>
    <s v="CUST041"/>
    <x v="10"/>
    <s v="P008"/>
    <x v="2"/>
    <x v="2"/>
    <n v="3"/>
    <n v="149.99"/>
    <x v="0"/>
    <x v="2"/>
    <s v="Premium"/>
    <x v="12"/>
    <n v="449.97"/>
  </r>
  <r>
    <s v="TRX0067"/>
    <x v="7"/>
    <s v="CUST043"/>
    <x v="11"/>
    <s v="P005"/>
    <x v="1"/>
    <x v="1"/>
    <n v="3"/>
    <n v="59.99"/>
    <x v="1"/>
    <x v="2"/>
    <s v="Standard"/>
    <x v="13"/>
    <n v="179.97"/>
  </r>
  <r>
    <s v="TRX0191"/>
    <x v="7"/>
    <s v="CUST038"/>
    <x v="12"/>
    <s v="P002"/>
    <x v="5"/>
    <x v="0"/>
    <n v="3"/>
    <n v="699.99"/>
    <x v="1"/>
    <x v="3"/>
    <s v="Basic"/>
    <x v="14"/>
    <n v="2099.9699999999998"/>
  </r>
  <r>
    <s v="TRX0230"/>
    <x v="7"/>
    <s v="CUST027"/>
    <x v="13"/>
    <s v="P001"/>
    <x v="4"/>
    <x v="0"/>
    <n v="1"/>
    <n v="899.99"/>
    <x v="3"/>
    <x v="2"/>
    <s v="Standard"/>
    <x v="15"/>
    <n v="899.99"/>
  </r>
  <r>
    <s v="TRX0049"/>
    <x v="8"/>
    <s v="CUST025"/>
    <x v="14"/>
    <s v="P008"/>
    <x v="2"/>
    <x v="2"/>
    <n v="4"/>
    <n v="149.99"/>
    <x v="3"/>
    <x v="2"/>
    <s v="Premium"/>
    <x v="16"/>
    <n v="599.96"/>
  </r>
  <r>
    <s v="TRX0134"/>
    <x v="8"/>
    <s v="CUST010"/>
    <x v="15"/>
    <s v="P002"/>
    <x v="5"/>
    <x v="0"/>
    <n v="2"/>
    <n v="699.99"/>
    <x v="0"/>
    <x v="2"/>
    <s v="Basic"/>
    <x v="17"/>
    <n v="1399.98"/>
  </r>
  <r>
    <s v="TRX0122"/>
    <x v="8"/>
    <s v="CUST025"/>
    <x v="14"/>
    <s v="P001"/>
    <x v="4"/>
    <x v="0"/>
    <n v="4"/>
    <n v="899.99"/>
    <x v="1"/>
    <x v="3"/>
    <s v="Standard"/>
    <x v="18"/>
    <n v="3599.96"/>
  </r>
  <r>
    <s v="TRX0222"/>
    <x v="8"/>
    <s v="CUST048"/>
    <x v="16"/>
    <s v="P009"/>
    <x v="0"/>
    <x v="0"/>
    <n v="3"/>
    <n v="249.99"/>
    <x v="1"/>
    <x v="2"/>
    <s v="Premium"/>
    <x v="19"/>
    <n v="749.97"/>
  </r>
  <r>
    <s v="TRX0231"/>
    <x v="9"/>
    <s v="CUST018"/>
    <x v="17"/>
    <s v="P002"/>
    <x v="5"/>
    <x v="0"/>
    <n v="5"/>
    <n v="699.99"/>
    <x v="0"/>
    <x v="3"/>
    <s v="Basic"/>
    <x v="20"/>
    <n v="3499.95"/>
  </r>
  <r>
    <s v="TRX0239"/>
    <x v="10"/>
    <s v="CUST012"/>
    <x v="18"/>
    <s v="P002"/>
    <x v="5"/>
    <x v="0"/>
    <n v="4"/>
    <n v="699.99"/>
    <x v="0"/>
    <x v="4"/>
    <s v="Standard"/>
    <x v="21"/>
    <n v="2799.96"/>
  </r>
  <r>
    <s v="TRX0204"/>
    <x v="11"/>
    <s v="CUST044"/>
    <x v="19"/>
    <s v="P009"/>
    <x v="0"/>
    <x v="0"/>
    <n v="4"/>
    <n v="249.99"/>
    <x v="2"/>
    <x v="2"/>
    <s v="Standard"/>
    <x v="22"/>
    <n v="999.96"/>
  </r>
  <r>
    <s v="TRX0242"/>
    <x v="12"/>
    <s v="CUST025"/>
    <x v="14"/>
    <s v="P007"/>
    <x v="6"/>
    <x v="2"/>
    <n v="4"/>
    <n v="299.99"/>
    <x v="0"/>
    <x v="3"/>
    <s v="Premium"/>
    <x v="23"/>
    <n v="1199.96"/>
  </r>
  <r>
    <s v="TRX0071"/>
    <x v="13"/>
    <s v="CUST036"/>
    <x v="20"/>
    <s v="P009"/>
    <x v="0"/>
    <x v="0"/>
    <n v="5"/>
    <n v="249.99"/>
    <x v="1"/>
    <x v="3"/>
    <s v="Standard"/>
    <x v="24"/>
    <n v="1249.95"/>
  </r>
  <r>
    <s v="TRX0040"/>
    <x v="14"/>
    <s v="CUST022"/>
    <x v="9"/>
    <s v="P007"/>
    <x v="6"/>
    <x v="2"/>
    <n v="5"/>
    <n v="299.99"/>
    <x v="2"/>
    <x v="4"/>
    <s v="Basic"/>
    <x v="25"/>
    <n v="1499.95"/>
  </r>
  <r>
    <s v="TRX0235"/>
    <x v="14"/>
    <s v="CUST014"/>
    <x v="21"/>
    <s v="P004"/>
    <x v="7"/>
    <x v="1"/>
    <n v="3"/>
    <n v="79.989999999999995"/>
    <x v="2"/>
    <x v="4"/>
    <s v="Premium"/>
    <x v="26"/>
    <n v="239.97"/>
  </r>
  <r>
    <s v="TRX0004"/>
    <x v="14"/>
    <s v="CUST012"/>
    <x v="18"/>
    <s v="P010"/>
    <x v="8"/>
    <x v="0"/>
    <n v="5"/>
    <n v="89.99"/>
    <x v="0"/>
    <x v="2"/>
    <s v="Premium"/>
    <x v="27"/>
    <n v="449.95"/>
  </r>
  <r>
    <s v="TRX0063"/>
    <x v="15"/>
    <s v="CUST030"/>
    <x v="22"/>
    <s v="P005"/>
    <x v="1"/>
    <x v="1"/>
    <n v="2"/>
    <n v="59.99"/>
    <x v="3"/>
    <x v="0"/>
    <s v="Standard"/>
    <x v="28"/>
    <n v="119.98"/>
  </r>
  <r>
    <s v="TRX0241"/>
    <x v="16"/>
    <s v="CUST029"/>
    <x v="23"/>
    <s v="P005"/>
    <x v="1"/>
    <x v="1"/>
    <n v="4"/>
    <n v="59.99"/>
    <x v="3"/>
    <x v="4"/>
    <s v="Standard"/>
    <x v="29"/>
    <n v="239.96"/>
  </r>
  <r>
    <s v="TRX0029"/>
    <x v="16"/>
    <s v="CUST017"/>
    <x v="6"/>
    <s v="P006"/>
    <x v="9"/>
    <x v="2"/>
    <n v="5"/>
    <n v="199.99"/>
    <x v="0"/>
    <x v="1"/>
    <s v="Standard"/>
    <x v="30"/>
    <n v="999.95"/>
  </r>
  <r>
    <s v="TRX0194"/>
    <x v="17"/>
    <s v="CUST006"/>
    <x v="24"/>
    <s v="P008"/>
    <x v="2"/>
    <x v="2"/>
    <n v="2"/>
    <n v="149.99"/>
    <x v="1"/>
    <x v="3"/>
    <s v="Basic"/>
    <x v="31"/>
    <n v="299.98"/>
  </r>
  <r>
    <s v="TRX0130"/>
    <x v="18"/>
    <s v="CUST002"/>
    <x v="25"/>
    <s v="P008"/>
    <x v="2"/>
    <x v="2"/>
    <n v="3"/>
    <n v="149.99"/>
    <x v="1"/>
    <x v="3"/>
    <s v="Premium"/>
    <x v="32"/>
    <n v="449.97"/>
  </r>
  <r>
    <s v="TRX0041"/>
    <x v="19"/>
    <s v="CUST021"/>
    <x v="2"/>
    <s v="P001"/>
    <x v="4"/>
    <x v="0"/>
    <n v="1"/>
    <n v="899.99"/>
    <x v="1"/>
    <x v="3"/>
    <s v="Premium"/>
    <x v="33"/>
    <n v="899.99"/>
  </r>
  <r>
    <s v="TRX0232"/>
    <x v="20"/>
    <s v="CUST012"/>
    <x v="18"/>
    <s v="P007"/>
    <x v="6"/>
    <x v="2"/>
    <n v="3"/>
    <n v="299.99"/>
    <x v="1"/>
    <x v="4"/>
    <s v="Basic"/>
    <x v="34"/>
    <n v="899.97"/>
  </r>
  <r>
    <s v="TRX0021"/>
    <x v="21"/>
    <s v="CUST006"/>
    <x v="24"/>
    <s v="P004"/>
    <x v="7"/>
    <x v="1"/>
    <n v="3"/>
    <n v="79.989999999999995"/>
    <x v="0"/>
    <x v="1"/>
    <s v="Basic"/>
    <x v="35"/>
    <n v="239.97"/>
  </r>
  <r>
    <s v="TRX0245"/>
    <x v="22"/>
    <s v="CUST031"/>
    <x v="26"/>
    <s v="P006"/>
    <x v="9"/>
    <x v="2"/>
    <n v="3"/>
    <n v="199.99"/>
    <x v="1"/>
    <x v="2"/>
    <s v="Premium"/>
    <x v="36"/>
    <n v="599.97"/>
  </r>
  <r>
    <s v="TRX0015"/>
    <x v="23"/>
    <s v="CUST008"/>
    <x v="27"/>
    <s v="P002"/>
    <x v="5"/>
    <x v="0"/>
    <n v="5"/>
    <n v="699.99"/>
    <x v="2"/>
    <x v="3"/>
    <s v="Standard"/>
    <x v="37"/>
    <n v="3499.95"/>
  </r>
  <r>
    <s v="TRX0202"/>
    <x v="24"/>
    <s v="CUST035"/>
    <x v="28"/>
    <s v="P010"/>
    <x v="8"/>
    <x v="0"/>
    <n v="3"/>
    <n v="89.99"/>
    <x v="2"/>
    <x v="0"/>
    <s v="Premium"/>
    <x v="38"/>
    <n v="269.97000000000003"/>
  </r>
  <r>
    <s v="TRX0042"/>
    <x v="25"/>
    <s v="CUST019"/>
    <x v="29"/>
    <s v="P004"/>
    <x v="7"/>
    <x v="1"/>
    <n v="1"/>
    <n v="79.989999999999995"/>
    <x v="0"/>
    <x v="2"/>
    <s v="Standard"/>
    <x v="39"/>
    <n v="79.989999999999995"/>
  </r>
  <r>
    <s v="TRX0128"/>
    <x v="26"/>
    <s v="CUST040"/>
    <x v="30"/>
    <s v="P005"/>
    <x v="1"/>
    <x v="1"/>
    <n v="2"/>
    <n v="59.99"/>
    <x v="0"/>
    <x v="3"/>
    <s v="Basic"/>
    <x v="40"/>
    <n v="119.98"/>
  </r>
  <r>
    <s v="TRX0117"/>
    <x v="26"/>
    <s v="CUST017"/>
    <x v="6"/>
    <s v="P010"/>
    <x v="8"/>
    <x v="0"/>
    <n v="1"/>
    <n v="89.99"/>
    <x v="0"/>
    <x v="2"/>
    <s v="Basic"/>
    <x v="41"/>
    <n v="89.99"/>
  </r>
  <r>
    <s v="TRX0208"/>
    <x v="27"/>
    <s v="CUST004"/>
    <x v="31"/>
    <s v="P010"/>
    <x v="8"/>
    <x v="0"/>
    <n v="5"/>
    <n v="89.99"/>
    <x v="1"/>
    <x v="4"/>
    <s v="Standard"/>
    <x v="42"/>
    <n v="449.95"/>
  </r>
  <r>
    <s v="TRX0234"/>
    <x v="28"/>
    <s v="CUST013"/>
    <x v="1"/>
    <s v="P009"/>
    <x v="0"/>
    <x v="0"/>
    <n v="5"/>
    <n v="249.99"/>
    <x v="1"/>
    <x v="4"/>
    <s v="Standard"/>
    <x v="43"/>
    <n v="1249.95"/>
  </r>
  <r>
    <s v="TRX0121"/>
    <x v="28"/>
    <s v="CUST028"/>
    <x v="32"/>
    <s v="P010"/>
    <x v="8"/>
    <x v="0"/>
    <n v="1"/>
    <n v="89.99"/>
    <x v="1"/>
    <x v="1"/>
    <s v="Standard"/>
    <x v="44"/>
    <n v="89.99"/>
  </r>
  <r>
    <s v="TRX0220"/>
    <x v="29"/>
    <s v="CUST003"/>
    <x v="4"/>
    <s v="P008"/>
    <x v="2"/>
    <x v="2"/>
    <n v="2"/>
    <n v="149.99"/>
    <x v="0"/>
    <x v="4"/>
    <s v="Premium"/>
    <x v="45"/>
    <n v="299.98"/>
  </r>
  <r>
    <s v="TRX0093"/>
    <x v="30"/>
    <s v="CUST050"/>
    <x v="33"/>
    <s v="P005"/>
    <x v="1"/>
    <x v="1"/>
    <n v="4"/>
    <n v="59.99"/>
    <x v="0"/>
    <x v="4"/>
    <s v="Standard"/>
    <x v="46"/>
    <n v="239.96"/>
  </r>
  <r>
    <s v="TRX0088"/>
    <x v="31"/>
    <s v="CUST006"/>
    <x v="24"/>
    <s v="P010"/>
    <x v="8"/>
    <x v="0"/>
    <n v="5"/>
    <n v="89.99"/>
    <x v="0"/>
    <x v="0"/>
    <s v="Premium"/>
    <x v="47"/>
    <n v="449.95"/>
  </r>
  <r>
    <s v="TRX0115"/>
    <x v="32"/>
    <s v="CUST012"/>
    <x v="18"/>
    <s v="P010"/>
    <x v="8"/>
    <x v="0"/>
    <n v="2"/>
    <n v="89.99"/>
    <x v="1"/>
    <x v="1"/>
    <s v="Premium"/>
    <x v="48"/>
    <n v="179.98"/>
  </r>
  <r>
    <s v="TRX0154"/>
    <x v="32"/>
    <s v="CUST023"/>
    <x v="0"/>
    <s v="P001"/>
    <x v="4"/>
    <x v="0"/>
    <n v="5"/>
    <n v="899.99"/>
    <x v="1"/>
    <x v="1"/>
    <s v="Standard"/>
    <x v="49"/>
    <n v="4499.95"/>
  </r>
  <r>
    <s v="TRX0044"/>
    <x v="32"/>
    <s v="CUST029"/>
    <x v="23"/>
    <s v="P001"/>
    <x v="4"/>
    <x v="0"/>
    <n v="5"/>
    <n v="899.99"/>
    <x v="2"/>
    <x v="4"/>
    <s v="Premium"/>
    <x v="50"/>
    <n v="4499.95"/>
  </r>
  <r>
    <s v="TRX0061"/>
    <x v="33"/>
    <s v="CUST028"/>
    <x v="32"/>
    <s v="P005"/>
    <x v="1"/>
    <x v="1"/>
    <n v="1"/>
    <n v="59.99"/>
    <x v="3"/>
    <x v="3"/>
    <s v="Premium"/>
    <x v="51"/>
    <n v="59.99"/>
  </r>
  <r>
    <s v="TRX0150"/>
    <x v="33"/>
    <s v="CUST008"/>
    <x v="27"/>
    <s v="P007"/>
    <x v="6"/>
    <x v="2"/>
    <n v="2"/>
    <n v="299.99"/>
    <x v="3"/>
    <x v="4"/>
    <s v="Standard"/>
    <x v="52"/>
    <n v="599.98"/>
  </r>
  <r>
    <s v="TRX0025"/>
    <x v="34"/>
    <s v="CUST049"/>
    <x v="34"/>
    <s v="P010"/>
    <x v="8"/>
    <x v="0"/>
    <n v="4"/>
    <n v="89.99"/>
    <x v="3"/>
    <x v="1"/>
    <s v="Basic"/>
    <x v="53"/>
    <n v="359.96"/>
  </r>
  <r>
    <s v="TRX0078"/>
    <x v="35"/>
    <s v="CUST021"/>
    <x v="2"/>
    <s v="P004"/>
    <x v="7"/>
    <x v="1"/>
    <n v="1"/>
    <n v="79.989999999999995"/>
    <x v="2"/>
    <x v="0"/>
    <s v="Premium"/>
    <x v="54"/>
    <n v="79.989999999999995"/>
  </r>
  <r>
    <s v="TRX0007"/>
    <x v="35"/>
    <s v="CUST009"/>
    <x v="7"/>
    <s v="P010"/>
    <x v="8"/>
    <x v="0"/>
    <n v="2"/>
    <n v="89.99"/>
    <x v="0"/>
    <x v="3"/>
    <s v="Basic"/>
    <x v="55"/>
    <n v="179.98"/>
  </r>
  <r>
    <s v="TRX0184"/>
    <x v="36"/>
    <s v="CUST046"/>
    <x v="3"/>
    <s v="P002"/>
    <x v="5"/>
    <x v="0"/>
    <n v="3"/>
    <n v="699.99"/>
    <x v="1"/>
    <x v="4"/>
    <s v="Premium"/>
    <x v="56"/>
    <n v="2099.9699999999998"/>
  </r>
  <r>
    <s v="TRX0104"/>
    <x v="36"/>
    <s v="CUST012"/>
    <x v="18"/>
    <s v="P001"/>
    <x v="4"/>
    <x v="0"/>
    <n v="4"/>
    <n v="899.99"/>
    <x v="1"/>
    <x v="4"/>
    <s v="Premium"/>
    <x v="57"/>
    <n v="3599.96"/>
  </r>
  <r>
    <s v="TRX0127"/>
    <x v="37"/>
    <s v="CUST030"/>
    <x v="22"/>
    <s v="P008"/>
    <x v="2"/>
    <x v="2"/>
    <n v="1"/>
    <n v="149.99"/>
    <x v="2"/>
    <x v="4"/>
    <s v="Basic"/>
    <x v="58"/>
    <n v="149.99"/>
  </r>
  <r>
    <s v="TRX0096"/>
    <x v="38"/>
    <s v="CUST002"/>
    <x v="25"/>
    <s v="P010"/>
    <x v="8"/>
    <x v="0"/>
    <n v="2"/>
    <n v="89.99"/>
    <x v="2"/>
    <x v="0"/>
    <s v="Premium"/>
    <x v="59"/>
    <n v="179.98"/>
  </r>
  <r>
    <s v="TRX0192"/>
    <x v="39"/>
    <s v="CUST017"/>
    <x v="6"/>
    <s v="P010"/>
    <x v="8"/>
    <x v="0"/>
    <n v="1"/>
    <n v="89.99"/>
    <x v="2"/>
    <x v="3"/>
    <s v="Standard"/>
    <x v="60"/>
    <n v="89.99"/>
  </r>
  <r>
    <s v="TRX0052"/>
    <x v="40"/>
    <s v="CUST022"/>
    <x v="9"/>
    <s v="P010"/>
    <x v="8"/>
    <x v="0"/>
    <n v="1"/>
    <n v="89.99"/>
    <x v="0"/>
    <x v="1"/>
    <s v="Standard"/>
    <x v="61"/>
    <n v="89.99"/>
  </r>
  <r>
    <s v="TRX0070"/>
    <x v="40"/>
    <s v="CUST007"/>
    <x v="35"/>
    <s v="P004"/>
    <x v="7"/>
    <x v="1"/>
    <n v="5"/>
    <n v="79.989999999999995"/>
    <x v="3"/>
    <x v="0"/>
    <s v="Basic"/>
    <x v="62"/>
    <n v="399.95"/>
  </r>
  <r>
    <s v="TRX0086"/>
    <x v="41"/>
    <s v="CUST020"/>
    <x v="36"/>
    <s v="P008"/>
    <x v="2"/>
    <x v="2"/>
    <n v="1"/>
    <n v="149.99"/>
    <x v="2"/>
    <x v="2"/>
    <s v="Basic"/>
    <x v="63"/>
    <n v="149.99"/>
  </r>
  <r>
    <s v="TRX0113"/>
    <x v="41"/>
    <s v="CUST003"/>
    <x v="4"/>
    <s v="P002"/>
    <x v="5"/>
    <x v="0"/>
    <n v="2"/>
    <n v="699.99"/>
    <x v="2"/>
    <x v="4"/>
    <s v="Premium"/>
    <x v="64"/>
    <n v="1399.98"/>
  </r>
  <r>
    <s v="TRX0114"/>
    <x v="41"/>
    <s v="CUST018"/>
    <x v="17"/>
    <s v="P010"/>
    <x v="8"/>
    <x v="0"/>
    <n v="5"/>
    <n v="89.99"/>
    <x v="3"/>
    <x v="2"/>
    <s v="Premium"/>
    <x v="65"/>
    <n v="449.95"/>
  </r>
  <r>
    <s v="TRX0136"/>
    <x v="42"/>
    <s v="CUST049"/>
    <x v="34"/>
    <s v="P005"/>
    <x v="1"/>
    <x v="1"/>
    <n v="4"/>
    <n v="59.99"/>
    <x v="0"/>
    <x v="1"/>
    <s v="Standard"/>
    <x v="66"/>
    <n v="239.96"/>
  </r>
  <r>
    <s v="TRX0018"/>
    <x v="43"/>
    <s v="CUST013"/>
    <x v="1"/>
    <s v="P003"/>
    <x v="3"/>
    <x v="0"/>
    <n v="1"/>
    <n v="149.99"/>
    <x v="0"/>
    <x v="0"/>
    <s v="Standard"/>
    <x v="67"/>
    <n v="149.99"/>
  </r>
  <r>
    <s v="TRX0141"/>
    <x v="43"/>
    <s v="CUST033"/>
    <x v="37"/>
    <s v="P007"/>
    <x v="6"/>
    <x v="2"/>
    <n v="1"/>
    <n v="299.99"/>
    <x v="1"/>
    <x v="2"/>
    <s v="Premium"/>
    <x v="68"/>
    <n v="299.99"/>
  </r>
  <r>
    <s v="TRX0097"/>
    <x v="44"/>
    <s v="CUST033"/>
    <x v="37"/>
    <s v="P006"/>
    <x v="9"/>
    <x v="2"/>
    <n v="2"/>
    <n v="199.99"/>
    <x v="0"/>
    <x v="2"/>
    <s v="Basic"/>
    <x v="69"/>
    <n v="399.98"/>
  </r>
  <r>
    <s v="TRX0169"/>
    <x v="45"/>
    <s v="CUST047"/>
    <x v="38"/>
    <s v="P005"/>
    <x v="1"/>
    <x v="1"/>
    <n v="3"/>
    <n v="59.99"/>
    <x v="1"/>
    <x v="3"/>
    <s v="Basic"/>
    <x v="70"/>
    <n v="179.97"/>
  </r>
  <r>
    <s v="TRX0216"/>
    <x v="45"/>
    <s v="CUST041"/>
    <x v="10"/>
    <s v="P008"/>
    <x v="2"/>
    <x v="2"/>
    <n v="3"/>
    <n v="149.99"/>
    <x v="0"/>
    <x v="0"/>
    <s v="Premium"/>
    <x v="71"/>
    <n v="449.97"/>
  </r>
  <r>
    <s v="TRX0131"/>
    <x v="46"/>
    <s v="CUST026"/>
    <x v="8"/>
    <s v="P006"/>
    <x v="9"/>
    <x v="2"/>
    <n v="3"/>
    <n v="199.99"/>
    <x v="0"/>
    <x v="2"/>
    <s v="Premium"/>
    <x v="72"/>
    <n v="599.97"/>
  </r>
  <r>
    <s v="TRX0162"/>
    <x v="47"/>
    <s v="CUST040"/>
    <x v="30"/>
    <s v="P001"/>
    <x v="4"/>
    <x v="0"/>
    <n v="1"/>
    <n v="899.99"/>
    <x v="0"/>
    <x v="0"/>
    <s v="Standard"/>
    <x v="73"/>
    <n v="899.99"/>
  </r>
  <r>
    <s v="TRX0244"/>
    <x v="48"/>
    <s v="CUST013"/>
    <x v="1"/>
    <s v="P001"/>
    <x v="4"/>
    <x v="0"/>
    <n v="5"/>
    <n v="899.99"/>
    <x v="3"/>
    <x v="1"/>
    <s v="Standard"/>
    <x v="74"/>
    <n v="4499.95"/>
  </r>
  <r>
    <s v="TRX0006"/>
    <x v="49"/>
    <s v="CUST007"/>
    <x v="35"/>
    <s v="P005"/>
    <x v="1"/>
    <x v="1"/>
    <n v="2"/>
    <n v="59.99"/>
    <x v="0"/>
    <x v="2"/>
    <s v="Standard"/>
    <x v="75"/>
    <n v="119.98"/>
  </r>
  <r>
    <s v="TRX0215"/>
    <x v="49"/>
    <s v="CUST047"/>
    <x v="38"/>
    <s v="P009"/>
    <x v="0"/>
    <x v="0"/>
    <n v="4"/>
    <n v="249.99"/>
    <x v="3"/>
    <x v="0"/>
    <s v="Standard"/>
    <x v="76"/>
    <n v="999.96"/>
  </r>
  <r>
    <s v="TRX0080"/>
    <x v="50"/>
    <s v="CUST018"/>
    <x v="17"/>
    <s v="P009"/>
    <x v="0"/>
    <x v="0"/>
    <n v="2"/>
    <n v="249.99"/>
    <x v="0"/>
    <x v="2"/>
    <s v="Premium"/>
    <x v="77"/>
    <n v="499.98"/>
  </r>
  <r>
    <s v="TRX0228"/>
    <x v="50"/>
    <s v="CUST019"/>
    <x v="29"/>
    <s v="P007"/>
    <x v="6"/>
    <x v="2"/>
    <n v="1"/>
    <n v="299.99"/>
    <x v="0"/>
    <x v="1"/>
    <s v="Basic"/>
    <x v="78"/>
    <n v="299.99"/>
  </r>
  <r>
    <s v="TRX0157"/>
    <x v="51"/>
    <s v="CUST025"/>
    <x v="14"/>
    <s v="P010"/>
    <x v="8"/>
    <x v="0"/>
    <n v="2"/>
    <n v="89.99"/>
    <x v="2"/>
    <x v="1"/>
    <s v="Basic"/>
    <x v="79"/>
    <n v="179.98"/>
  </r>
  <r>
    <s v="TRX0002"/>
    <x v="51"/>
    <s v="CUST019"/>
    <x v="29"/>
    <s v="P007"/>
    <x v="6"/>
    <x v="2"/>
    <n v="3"/>
    <n v="299.99"/>
    <x v="0"/>
    <x v="0"/>
    <s v="Basic"/>
    <x v="80"/>
    <n v="899.97"/>
  </r>
  <r>
    <s v="TRX0217"/>
    <x v="52"/>
    <s v="CUST025"/>
    <x v="14"/>
    <s v="P002"/>
    <x v="5"/>
    <x v="0"/>
    <n v="2"/>
    <n v="699.99"/>
    <x v="1"/>
    <x v="2"/>
    <s v="Premium"/>
    <x v="81"/>
    <n v="1399.98"/>
  </r>
  <r>
    <s v="TRX0249"/>
    <x v="53"/>
    <s v="CUST030"/>
    <x v="22"/>
    <s v="P001"/>
    <x v="4"/>
    <x v="0"/>
    <n v="4"/>
    <n v="899.99"/>
    <x v="3"/>
    <x v="1"/>
    <s v="Standard"/>
    <x v="82"/>
    <n v="3599.96"/>
  </r>
  <r>
    <s v="TRX0065"/>
    <x v="54"/>
    <s v="CUST016"/>
    <x v="39"/>
    <s v="P008"/>
    <x v="2"/>
    <x v="2"/>
    <n v="2"/>
    <n v="149.99"/>
    <x v="1"/>
    <x v="3"/>
    <s v="Basic"/>
    <x v="83"/>
    <n v="299.98"/>
  </r>
  <r>
    <s v="TRX0176"/>
    <x v="55"/>
    <s v="CUST044"/>
    <x v="19"/>
    <s v="P008"/>
    <x v="2"/>
    <x v="2"/>
    <n v="2"/>
    <n v="149.99"/>
    <x v="3"/>
    <x v="4"/>
    <s v="Standard"/>
    <x v="84"/>
    <n v="299.98"/>
  </r>
  <r>
    <s v="TRX0101"/>
    <x v="56"/>
    <s v="CUST010"/>
    <x v="15"/>
    <s v="P010"/>
    <x v="8"/>
    <x v="0"/>
    <n v="1"/>
    <n v="89.99"/>
    <x v="1"/>
    <x v="2"/>
    <s v="Standard"/>
    <x v="85"/>
    <n v="89.99"/>
  </r>
  <r>
    <s v="TRX0205"/>
    <x v="57"/>
    <s v="CUST025"/>
    <x v="14"/>
    <s v="P007"/>
    <x v="6"/>
    <x v="2"/>
    <n v="5"/>
    <n v="299.99"/>
    <x v="1"/>
    <x v="2"/>
    <s v="Basic"/>
    <x v="86"/>
    <n v="1499.95"/>
  </r>
  <r>
    <s v="TRX0020"/>
    <x v="58"/>
    <s v="CUST007"/>
    <x v="35"/>
    <s v="P003"/>
    <x v="3"/>
    <x v="0"/>
    <n v="4"/>
    <n v="149.99"/>
    <x v="3"/>
    <x v="1"/>
    <s v="Premium"/>
    <x v="87"/>
    <n v="599.96"/>
  </r>
  <r>
    <s v="TRX0075"/>
    <x v="58"/>
    <s v="CUST020"/>
    <x v="36"/>
    <s v="P009"/>
    <x v="0"/>
    <x v="0"/>
    <n v="5"/>
    <n v="249.99"/>
    <x v="2"/>
    <x v="4"/>
    <s v="Premium"/>
    <x v="88"/>
    <n v="1249.95"/>
  </r>
  <r>
    <s v="TRX0098"/>
    <x v="58"/>
    <s v="CUST026"/>
    <x v="8"/>
    <s v="P009"/>
    <x v="0"/>
    <x v="0"/>
    <n v="3"/>
    <n v="249.99"/>
    <x v="2"/>
    <x v="2"/>
    <s v="Premium"/>
    <x v="89"/>
    <n v="749.97"/>
  </r>
  <r>
    <s v="TRX0247"/>
    <x v="58"/>
    <s v="CUST046"/>
    <x v="3"/>
    <s v="P006"/>
    <x v="9"/>
    <x v="2"/>
    <n v="4"/>
    <n v="199.99"/>
    <x v="0"/>
    <x v="2"/>
    <s v="Standard"/>
    <x v="90"/>
    <n v="799.96"/>
  </r>
  <r>
    <s v="TRX0027"/>
    <x v="59"/>
    <s v="CUST028"/>
    <x v="32"/>
    <s v="P006"/>
    <x v="9"/>
    <x v="2"/>
    <n v="5"/>
    <n v="199.99"/>
    <x v="0"/>
    <x v="2"/>
    <s v="Premium"/>
    <x v="91"/>
    <n v="999.95"/>
  </r>
  <r>
    <s v="TRX0140"/>
    <x v="60"/>
    <s v="CUST025"/>
    <x v="14"/>
    <s v="P010"/>
    <x v="8"/>
    <x v="0"/>
    <n v="2"/>
    <n v="89.99"/>
    <x v="0"/>
    <x v="4"/>
    <s v="Premium"/>
    <x v="92"/>
    <n v="179.98"/>
  </r>
  <r>
    <s v="TRX0132"/>
    <x v="61"/>
    <s v="CUST047"/>
    <x v="38"/>
    <s v="P001"/>
    <x v="4"/>
    <x v="0"/>
    <n v="5"/>
    <n v="899.99"/>
    <x v="3"/>
    <x v="4"/>
    <s v="Basic"/>
    <x v="93"/>
    <n v="4499.95"/>
  </r>
  <r>
    <s v="TRX0031"/>
    <x v="61"/>
    <s v="CUST036"/>
    <x v="20"/>
    <s v="P003"/>
    <x v="3"/>
    <x v="0"/>
    <n v="3"/>
    <n v="149.99"/>
    <x v="2"/>
    <x v="4"/>
    <s v="Basic"/>
    <x v="94"/>
    <n v="449.97"/>
  </r>
  <r>
    <s v="TRX0236"/>
    <x v="62"/>
    <s v="CUST044"/>
    <x v="19"/>
    <s v="P008"/>
    <x v="2"/>
    <x v="2"/>
    <n v="5"/>
    <n v="149.99"/>
    <x v="1"/>
    <x v="0"/>
    <s v="Basic"/>
    <x v="95"/>
    <n v="749.95"/>
  </r>
  <r>
    <s v="TRX0001"/>
    <x v="63"/>
    <s v="CUST039"/>
    <x v="40"/>
    <s v="P004"/>
    <x v="7"/>
    <x v="1"/>
    <n v="3"/>
    <n v="79.989999999999995"/>
    <x v="0"/>
    <x v="0"/>
    <s v="Premium"/>
    <x v="96"/>
    <n v="239.97"/>
  </r>
  <r>
    <s v="TRX0037"/>
    <x v="63"/>
    <s v="CUST035"/>
    <x v="28"/>
    <s v="P009"/>
    <x v="0"/>
    <x v="0"/>
    <n v="2"/>
    <n v="249.99"/>
    <x v="0"/>
    <x v="1"/>
    <s v="Standard"/>
    <x v="97"/>
    <n v="499.98"/>
  </r>
  <r>
    <s v="TRX0058"/>
    <x v="64"/>
    <s v="CUST047"/>
    <x v="38"/>
    <s v="P002"/>
    <x v="5"/>
    <x v="0"/>
    <n v="1"/>
    <n v="699.99"/>
    <x v="0"/>
    <x v="0"/>
    <s v="Premium"/>
    <x v="98"/>
    <n v="699.99"/>
  </r>
  <r>
    <s v="TRX0170"/>
    <x v="64"/>
    <s v="CUST034"/>
    <x v="41"/>
    <s v="P003"/>
    <x v="3"/>
    <x v="0"/>
    <n v="3"/>
    <n v="149.99"/>
    <x v="0"/>
    <x v="3"/>
    <s v="Premium"/>
    <x v="99"/>
    <n v="449.97"/>
  </r>
  <r>
    <s v="TRX0248"/>
    <x v="65"/>
    <s v="CUST032"/>
    <x v="42"/>
    <s v="P002"/>
    <x v="5"/>
    <x v="0"/>
    <n v="2"/>
    <n v="699.99"/>
    <x v="1"/>
    <x v="2"/>
    <s v="Premium"/>
    <x v="63"/>
    <n v="1399.98"/>
  </r>
  <r>
    <s v="TRX0099"/>
    <x v="66"/>
    <s v="CUST034"/>
    <x v="41"/>
    <s v="P009"/>
    <x v="0"/>
    <x v="0"/>
    <n v="1"/>
    <n v="249.99"/>
    <x v="1"/>
    <x v="3"/>
    <s v="Premium"/>
    <x v="100"/>
    <n v="249.99"/>
  </r>
  <r>
    <s v="TRX0074"/>
    <x v="66"/>
    <s v="CUST023"/>
    <x v="0"/>
    <s v="P009"/>
    <x v="0"/>
    <x v="0"/>
    <n v="1"/>
    <n v="249.99"/>
    <x v="3"/>
    <x v="2"/>
    <s v="Premium"/>
    <x v="101"/>
    <n v="249.99"/>
  </r>
  <r>
    <s v="TRX0225"/>
    <x v="67"/>
    <s v="CUST039"/>
    <x v="40"/>
    <s v="P002"/>
    <x v="5"/>
    <x v="0"/>
    <n v="2"/>
    <n v="699.99"/>
    <x v="3"/>
    <x v="0"/>
    <s v="Premium"/>
    <x v="102"/>
    <n v="1399.98"/>
  </r>
  <r>
    <s v="TRX0100"/>
    <x v="68"/>
    <s v="CUST031"/>
    <x v="26"/>
    <s v="P005"/>
    <x v="1"/>
    <x v="1"/>
    <n v="3"/>
    <n v="59.99"/>
    <x v="1"/>
    <x v="0"/>
    <s v="Premium"/>
    <x v="103"/>
    <n v="179.97"/>
  </r>
  <r>
    <s v="TRX0142"/>
    <x v="69"/>
    <s v="CUST002"/>
    <x v="25"/>
    <s v="P005"/>
    <x v="1"/>
    <x v="1"/>
    <n v="3"/>
    <n v="59.99"/>
    <x v="2"/>
    <x v="4"/>
    <s v="Standard"/>
    <x v="104"/>
    <n v="179.97"/>
  </r>
  <r>
    <s v="TRX0112"/>
    <x v="69"/>
    <s v="CUST008"/>
    <x v="27"/>
    <s v="P004"/>
    <x v="7"/>
    <x v="1"/>
    <n v="4"/>
    <n v="79.989999999999995"/>
    <x v="0"/>
    <x v="2"/>
    <s v="Basic"/>
    <x v="105"/>
    <n v="319.95999999999998"/>
  </r>
  <r>
    <s v="TRX0161"/>
    <x v="70"/>
    <s v="CUST017"/>
    <x v="6"/>
    <s v="P004"/>
    <x v="7"/>
    <x v="1"/>
    <n v="1"/>
    <n v="79.989999999999995"/>
    <x v="0"/>
    <x v="3"/>
    <s v="Basic"/>
    <x v="106"/>
    <n v="79.989999999999995"/>
  </r>
  <r>
    <s v="TRX0108"/>
    <x v="71"/>
    <s v="CUST024"/>
    <x v="5"/>
    <s v="P007"/>
    <x v="6"/>
    <x v="2"/>
    <n v="3"/>
    <n v="299.99"/>
    <x v="1"/>
    <x v="0"/>
    <s v="Premium"/>
    <x v="107"/>
    <n v="899.97"/>
  </r>
  <r>
    <s v="TRX0211"/>
    <x v="72"/>
    <s v="CUST046"/>
    <x v="3"/>
    <s v="P010"/>
    <x v="8"/>
    <x v="0"/>
    <n v="2"/>
    <n v="89.99"/>
    <x v="1"/>
    <x v="1"/>
    <s v="Premium"/>
    <x v="108"/>
    <n v="179.98"/>
  </r>
  <r>
    <s v="TRX0005"/>
    <x v="73"/>
    <s v="CUST042"/>
    <x v="43"/>
    <s v="P003"/>
    <x v="3"/>
    <x v="0"/>
    <n v="4"/>
    <n v="149.99"/>
    <x v="0"/>
    <x v="2"/>
    <s v="Basic"/>
    <x v="67"/>
    <n v="599.96"/>
  </r>
  <r>
    <s v="TRX0195"/>
    <x v="74"/>
    <s v="CUST026"/>
    <x v="8"/>
    <s v="P009"/>
    <x v="0"/>
    <x v="0"/>
    <n v="2"/>
    <n v="249.99"/>
    <x v="2"/>
    <x v="1"/>
    <s v="Basic"/>
    <x v="57"/>
    <n v="499.98"/>
  </r>
  <r>
    <s v="TRX0054"/>
    <x v="74"/>
    <s v="CUST004"/>
    <x v="31"/>
    <s v="P006"/>
    <x v="9"/>
    <x v="2"/>
    <n v="4"/>
    <n v="199.99"/>
    <x v="3"/>
    <x v="4"/>
    <s v="Basic"/>
    <x v="90"/>
    <n v="799.96"/>
  </r>
  <r>
    <s v="TRX0077"/>
    <x v="75"/>
    <s v="CUST019"/>
    <x v="29"/>
    <s v="P010"/>
    <x v="8"/>
    <x v="0"/>
    <n v="5"/>
    <n v="89.99"/>
    <x v="1"/>
    <x v="4"/>
    <s v="Premium"/>
    <x v="109"/>
    <n v="449.95"/>
  </r>
  <r>
    <s v="TRX0111"/>
    <x v="75"/>
    <s v="CUST011"/>
    <x v="44"/>
    <s v="P003"/>
    <x v="3"/>
    <x v="0"/>
    <n v="1"/>
    <n v="149.99"/>
    <x v="2"/>
    <x v="4"/>
    <s v="Standard"/>
    <x v="110"/>
    <n v="149.99"/>
  </r>
  <r>
    <s v="TRX0123"/>
    <x v="75"/>
    <s v="CUST041"/>
    <x v="10"/>
    <s v="P002"/>
    <x v="5"/>
    <x v="0"/>
    <n v="4"/>
    <n v="699.99"/>
    <x v="2"/>
    <x v="1"/>
    <s v="Basic"/>
    <x v="111"/>
    <n v="2799.96"/>
  </r>
  <r>
    <s v="TRX0177"/>
    <x v="76"/>
    <s v="CUST032"/>
    <x v="42"/>
    <s v="P001"/>
    <x v="4"/>
    <x v="0"/>
    <n v="3"/>
    <n v="899.99"/>
    <x v="1"/>
    <x v="2"/>
    <s v="Standard"/>
    <x v="112"/>
    <n v="2699.97"/>
  </r>
  <r>
    <s v="TRX0119"/>
    <x v="77"/>
    <s v="CUST014"/>
    <x v="21"/>
    <s v="P008"/>
    <x v="2"/>
    <x v="2"/>
    <n v="3"/>
    <n v="149.99"/>
    <x v="2"/>
    <x v="4"/>
    <s v="Basic"/>
    <x v="113"/>
    <n v="449.97"/>
  </r>
  <r>
    <s v="TRX0181"/>
    <x v="78"/>
    <s v="CUST012"/>
    <x v="18"/>
    <s v="P007"/>
    <x v="6"/>
    <x v="2"/>
    <n v="2"/>
    <n v="299.99"/>
    <x v="3"/>
    <x v="0"/>
    <s v="Basic"/>
    <x v="114"/>
    <n v="599.98"/>
  </r>
  <r>
    <s v="TRX0129"/>
    <x v="79"/>
    <s v="CUST015"/>
    <x v="45"/>
    <s v="P006"/>
    <x v="9"/>
    <x v="2"/>
    <n v="1"/>
    <n v="199.99"/>
    <x v="3"/>
    <x v="4"/>
    <s v="Standard"/>
    <x v="115"/>
    <n v="199.99"/>
  </r>
  <r>
    <s v="TRX0174"/>
    <x v="80"/>
    <s v="CUST003"/>
    <x v="4"/>
    <s v="P007"/>
    <x v="6"/>
    <x v="2"/>
    <n v="4"/>
    <n v="299.99"/>
    <x v="0"/>
    <x v="0"/>
    <s v="Premium"/>
    <x v="116"/>
    <n v="1199.96"/>
  </r>
  <r>
    <s v="TRX0146"/>
    <x v="81"/>
    <s v="CUST010"/>
    <x v="15"/>
    <s v="P005"/>
    <x v="1"/>
    <x v="1"/>
    <n v="2"/>
    <n v="59.99"/>
    <x v="1"/>
    <x v="0"/>
    <s v="Basic"/>
    <x v="47"/>
    <n v="119.98"/>
  </r>
  <r>
    <s v="TRX0203"/>
    <x v="81"/>
    <s v="CUST032"/>
    <x v="42"/>
    <s v="P003"/>
    <x v="3"/>
    <x v="0"/>
    <n v="4"/>
    <n v="149.99"/>
    <x v="1"/>
    <x v="2"/>
    <s v="Premium"/>
    <x v="117"/>
    <n v="599.96"/>
  </r>
  <r>
    <s v="TRX0055"/>
    <x v="82"/>
    <s v="CUST016"/>
    <x v="39"/>
    <s v="P002"/>
    <x v="5"/>
    <x v="0"/>
    <n v="2"/>
    <n v="699.99"/>
    <x v="3"/>
    <x v="4"/>
    <s v="Premium"/>
    <x v="118"/>
    <n v="1399.98"/>
  </r>
  <r>
    <s v="TRX0218"/>
    <x v="82"/>
    <s v="CUST034"/>
    <x v="41"/>
    <s v="P008"/>
    <x v="2"/>
    <x v="2"/>
    <n v="3"/>
    <n v="149.99"/>
    <x v="1"/>
    <x v="1"/>
    <s v="Standard"/>
    <x v="119"/>
    <n v="449.97"/>
  </r>
  <r>
    <s v="TRX0085"/>
    <x v="83"/>
    <s v="CUST019"/>
    <x v="29"/>
    <s v="P007"/>
    <x v="6"/>
    <x v="2"/>
    <n v="3"/>
    <n v="299.99"/>
    <x v="1"/>
    <x v="0"/>
    <s v="Standard"/>
    <x v="120"/>
    <n v="899.97"/>
  </r>
  <r>
    <s v="TRX0158"/>
    <x v="84"/>
    <s v="CUST027"/>
    <x v="13"/>
    <s v="P001"/>
    <x v="4"/>
    <x v="0"/>
    <n v="3"/>
    <n v="899.99"/>
    <x v="2"/>
    <x v="3"/>
    <s v="Basic"/>
    <x v="121"/>
    <n v="2699.97"/>
  </r>
  <r>
    <s v="TRX0173"/>
    <x v="85"/>
    <s v="CUST018"/>
    <x v="17"/>
    <s v="P002"/>
    <x v="5"/>
    <x v="0"/>
    <n v="5"/>
    <n v="699.99"/>
    <x v="0"/>
    <x v="4"/>
    <s v="Standard"/>
    <x v="122"/>
    <n v="3499.95"/>
  </r>
  <r>
    <s v="TRX0034"/>
    <x v="85"/>
    <s v="CUST049"/>
    <x v="34"/>
    <s v="P002"/>
    <x v="5"/>
    <x v="0"/>
    <n v="4"/>
    <n v="699.99"/>
    <x v="1"/>
    <x v="0"/>
    <s v="Basic"/>
    <x v="123"/>
    <n v="2799.96"/>
  </r>
  <r>
    <s v="TRX0189"/>
    <x v="85"/>
    <s v="CUST040"/>
    <x v="30"/>
    <s v="P001"/>
    <x v="4"/>
    <x v="0"/>
    <n v="1"/>
    <n v="899.99"/>
    <x v="1"/>
    <x v="4"/>
    <s v="Standard"/>
    <x v="124"/>
    <n v="899.99"/>
  </r>
  <r>
    <s v="TRX0190"/>
    <x v="86"/>
    <s v="CUST039"/>
    <x v="40"/>
    <s v="P003"/>
    <x v="3"/>
    <x v="0"/>
    <n v="2"/>
    <n v="149.99"/>
    <x v="1"/>
    <x v="3"/>
    <s v="Basic"/>
    <x v="125"/>
    <n v="299.98"/>
  </r>
  <r>
    <s v="TRX0079"/>
    <x v="87"/>
    <s v="CUST039"/>
    <x v="40"/>
    <s v="P010"/>
    <x v="8"/>
    <x v="0"/>
    <n v="3"/>
    <n v="89.99"/>
    <x v="2"/>
    <x v="0"/>
    <s v="Basic"/>
    <x v="126"/>
    <n v="269.97000000000003"/>
  </r>
  <r>
    <s v="TRX0095"/>
    <x v="88"/>
    <s v="CUST046"/>
    <x v="3"/>
    <s v="P003"/>
    <x v="3"/>
    <x v="0"/>
    <n v="2"/>
    <n v="149.99"/>
    <x v="2"/>
    <x v="0"/>
    <s v="Basic"/>
    <x v="127"/>
    <n v="299.98"/>
  </r>
  <r>
    <s v="TRX0009"/>
    <x v="88"/>
    <s v="CUST004"/>
    <x v="31"/>
    <s v="P002"/>
    <x v="5"/>
    <x v="0"/>
    <n v="2"/>
    <n v="699.99"/>
    <x v="0"/>
    <x v="0"/>
    <s v="Basic"/>
    <x v="128"/>
    <n v="1399.98"/>
  </r>
  <r>
    <s v="TRX0167"/>
    <x v="89"/>
    <s v="CUST028"/>
    <x v="32"/>
    <s v="P002"/>
    <x v="5"/>
    <x v="0"/>
    <n v="5"/>
    <n v="699.99"/>
    <x v="0"/>
    <x v="2"/>
    <s v="Premium"/>
    <x v="129"/>
    <n v="3499.95"/>
  </r>
  <r>
    <s v="TRX0153"/>
    <x v="90"/>
    <s v="CUST049"/>
    <x v="34"/>
    <s v="P010"/>
    <x v="8"/>
    <x v="0"/>
    <n v="3"/>
    <n v="89.99"/>
    <x v="1"/>
    <x v="2"/>
    <s v="Standard"/>
    <x v="130"/>
    <n v="269.97000000000003"/>
  </r>
  <r>
    <s v="TRX0057"/>
    <x v="91"/>
    <s v="CUST023"/>
    <x v="0"/>
    <s v="P009"/>
    <x v="0"/>
    <x v="0"/>
    <n v="5"/>
    <n v="249.99"/>
    <x v="1"/>
    <x v="1"/>
    <s v="Standard"/>
    <x v="131"/>
    <n v="1249.95"/>
  </r>
  <r>
    <s v="TRX0017"/>
    <x v="92"/>
    <s v="CUST026"/>
    <x v="8"/>
    <s v="P007"/>
    <x v="6"/>
    <x v="2"/>
    <n v="3"/>
    <n v="299.99"/>
    <x v="1"/>
    <x v="1"/>
    <s v="Standard"/>
    <x v="132"/>
    <n v="899.97"/>
  </r>
  <r>
    <s v="TRX0060"/>
    <x v="93"/>
    <s v="CUST012"/>
    <x v="18"/>
    <s v="P010"/>
    <x v="8"/>
    <x v="0"/>
    <n v="3"/>
    <n v="89.99"/>
    <x v="1"/>
    <x v="2"/>
    <s v="Premium"/>
    <x v="133"/>
    <n v="269.97000000000003"/>
  </r>
  <r>
    <s v="TRX0109"/>
    <x v="94"/>
    <s v="CUST010"/>
    <x v="15"/>
    <s v="P008"/>
    <x v="2"/>
    <x v="2"/>
    <n v="2"/>
    <n v="149.99"/>
    <x v="1"/>
    <x v="3"/>
    <s v="Premium"/>
    <x v="134"/>
    <n v="299.98"/>
  </r>
  <r>
    <s v="TRX0090"/>
    <x v="95"/>
    <s v="CUST020"/>
    <x v="36"/>
    <s v="P009"/>
    <x v="0"/>
    <x v="0"/>
    <n v="1"/>
    <n v="249.99"/>
    <x v="1"/>
    <x v="2"/>
    <s v="Premium"/>
    <x v="135"/>
    <n v="249.99"/>
  </r>
  <r>
    <s v="TRX0035"/>
    <x v="96"/>
    <s v="CUST041"/>
    <x v="10"/>
    <s v="P003"/>
    <x v="3"/>
    <x v="0"/>
    <n v="3"/>
    <n v="149.99"/>
    <x v="0"/>
    <x v="2"/>
    <s v="Basic"/>
    <x v="136"/>
    <n v="449.97"/>
  </r>
  <r>
    <s v="TRX0172"/>
    <x v="96"/>
    <s v="CUST023"/>
    <x v="0"/>
    <s v="P005"/>
    <x v="1"/>
    <x v="1"/>
    <n v="5"/>
    <n v="59.99"/>
    <x v="2"/>
    <x v="3"/>
    <s v="Premium"/>
    <x v="137"/>
    <n v="299.95"/>
  </r>
  <r>
    <s v="TRX0076"/>
    <x v="96"/>
    <s v="CUST012"/>
    <x v="18"/>
    <s v="P009"/>
    <x v="0"/>
    <x v="0"/>
    <n v="4"/>
    <n v="249.99"/>
    <x v="1"/>
    <x v="3"/>
    <s v="Standard"/>
    <x v="138"/>
    <n v="999.96"/>
  </r>
  <r>
    <s v="TRX0210"/>
    <x v="97"/>
    <s v="CUST004"/>
    <x v="31"/>
    <s v="P008"/>
    <x v="2"/>
    <x v="2"/>
    <n v="5"/>
    <n v="149.99"/>
    <x v="2"/>
    <x v="0"/>
    <s v="Basic"/>
    <x v="139"/>
    <n v="749.95"/>
  </r>
  <r>
    <s v="TRX0149"/>
    <x v="97"/>
    <s v="CUST027"/>
    <x v="13"/>
    <s v="P005"/>
    <x v="1"/>
    <x v="1"/>
    <n v="3"/>
    <n v="59.99"/>
    <x v="3"/>
    <x v="1"/>
    <s v="Standard"/>
    <x v="140"/>
    <n v="179.97"/>
  </r>
  <r>
    <s v="TRX0073"/>
    <x v="98"/>
    <s v="CUST032"/>
    <x v="42"/>
    <s v="P008"/>
    <x v="2"/>
    <x v="2"/>
    <n v="5"/>
    <n v="149.99"/>
    <x v="0"/>
    <x v="2"/>
    <s v="Basic"/>
    <x v="141"/>
    <n v="749.95"/>
  </r>
  <r>
    <s v="TRX0033"/>
    <x v="98"/>
    <s v="CUST025"/>
    <x v="14"/>
    <s v="P002"/>
    <x v="5"/>
    <x v="0"/>
    <n v="2"/>
    <n v="699.99"/>
    <x v="2"/>
    <x v="3"/>
    <s v="Standard"/>
    <x v="142"/>
    <n v="1399.98"/>
  </r>
  <r>
    <s v="TRX0160"/>
    <x v="99"/>
    <s v="CUST029"/>
    <x v="23"/>
    <s v="P006"/>
    <x v="9"/>
    <x v="2"/>
    <n v="4"/>
    <n v="199.99"/>
    <x v="3"/>
    <x v="0"/>
    <s v="Premium"/>
    <x v="143"/>
    <n v="799.96"/>
  </r>
  <r>
    <s v="TRX0145"/>
    <x v="100"/>
    <s v="CUST033"/>
    <x v="37"/>
    <s v="P005"/>
    <x v="1"/>
    <x v="1"/>
    <n v="1"/>
    <n v="59.99"/>
    <x v="3"/>
    <x v="3"/>
    <s v="Standard"/>
    <x v="144"/>
    <n v="59.99"/>
  </r>
  <r>
    <s v="TRX0148"/>
    <x v="100"/>
    <s v="CUST004"/>
    <x v="31"/>
    <s v="P002"/>
    <x v="5"/>
    <x v="0"/>
    <n v="3"/>
    <n v="699.99"/>
    <x v="2"/>
    <x v="3"/>
    <s v="Standard"/>
    <x v="145"/>
    <n v="2099.9699999999998"/>
  </r>
  <r>
    <s v="TRX0012"/>
    <x v="101"/>
    <s v="CUST045"/>
    <x v="46"/>
    <s v="P009"/>
    <x v="0"/>
    <x v="0"/>
    <n v="5"/>
    <n v="249.99"/>
    <x v="1"/>
    <x v="2"/>
    <s v="Basic"/>
    <x v="146"/>
    <n v="1249.95"/>
  </r>
  <r>
    <s v="TRX0206"/>
    <x v="102"/>
    <s v="CUST014"/>
    <x v="21"/>
    <s v="P008"/>
    <x v="2"/>
    <x v="2"/>
    <n v="2"/>
    <n v="149.99"/>
    <x v="0"/>
    <x v="1"/>
    <s v="Standard"/>
    <x v="147"/>
    <n v="299.98"/>
  </r>
  <r>
    <s v="TRX0045"/>
    <x v="103"/>
    <s v="CUST021"/>
    <x v="2"/>
    <s v="P007"/>
    <x v="6"/>
    <x v="2"/>
    <n v="3"/>
    <n v="299.99"/>
    <x v="0"/>
    <x v="1"/>
    <s v="Premium"/>
    <x v="138"/>
    <n v="899.97"/>
  </r>
  <r>
    <s v="TRX0094"/>
    <x v="103"/>
    <s v="CUST017"/>
    <x v="6"/>
    <s v="P009"/>
    <x v="0"/>
    <x v="0"/>
    <n v="5"/>
    <n v="249.99"/>
    <x v="0"/>
    <x v="0"/>
    <s v="Premium"/>
    <x v="148"/>
    <n v="1249.95"/>
  </r>
  <r>
    <s v="TRX0133"/>
    <x v="103"/>
    <s v="CUST013"/>
    <x v="1"/>
    <s v="P003"/>
    <x v="3"/>
    <x v="0"/>
    <n v="2"/>
    <n v="149.99"/>
    <x v="0"/>
    <x v="1"/>
    <s v="Premium"/>
    <x v="149"/>
    <n v="299.98"/>
  </r>
  <r>
    <s v="TRX0201"/>
    <x v="103"/>
    <s v="CUST025"/>
    <x v="14"/>
    <s v="P002"/>
    <x v="5"/>
    <x v="0"/>
    <n v="5"/>
    <n v="699.99"/>
    <x v="3"/>
    <x v="3"/>
    <s v="Standard"/>
    <x v="150"/>
    <n v="3499.95"/>
  </r>
  <r>
    <s v="TRX0137"/>
    <x v="104"/>
    <s v="CUST011"/>
    <x v="44"/>
    <s v="P009"/>
    <x v="0"/>
    <x v="0"/>
    <n v="4"/>
    <n v="249.99"/>
    <x v="2"/>
    <x v="4"/>
    <s v="Premium"/>
    <x v="151"/>
    <n v="999.96"/>
  </r>
  <r>
    <s v="TRX0066"/>
    <x v="105"/>
    <s v="CUST024"/>
    <x v="5"/>
    <s v="P002"/>
    <x v="5"/>
    <x v="0"/>
    <n v="4"/>
    <n v="699.99"/>
    <x v="1"/>
    <x v="2"/>
    <s v="Premium"/>
    <x v="152"/>
    <n v="2799.96"/>
  </r>
  <r>
    <s v="TRX0180"/>
    <x v="106"/>
    <s v="CUST036"/>
    <x v="20"/>
    <s v="P009"/>
    <x v="0"/>
    <x v="0"/>
    <n v="2"/>
    <n v="249.99"/>
    <x v="1"/>
    <x v="0"/>
    <s v="Premium"/>
    <x v="153"/>
    <n v="499.98"/>
  </r>
  <r>
    <s v="TRX0082"/>
    <x v="106"/>
    <s v="CUST005"/>
    <x v="47"/>
    <s v="P005"/>
    <x v="1"/>
    <x v="1"/>
    <n v="3"/>
    <n v="59.99"/>
    <x v="0"/>
    <x v="0"/>
    <s v="Premium"/>
    <x v="154"/>
    <n v="179.97"/>
  </r>
  <r>
    <s v="TRX0036"/>
    <x v="106"/>
    <s v="CUST008"/>
    <x v="27"/>
    <s v="P004"/>
    <x v="7"/>
    <x v="1"/>
    <n v="4"/>
    <n v="79.989999999999995"/>
    <x v="3"/>
    <x v="4"/>
    <s v="Standard"/>
    <x v="155"/>
    <n v="319.95999999999998"/>
  </r>
  <r>
    <s v="TRX0198"/>
    <x v="107"/>
    <s v="CUST030"/>
    <x v="22"/>
    <s v="P004"/>
    <x v="7"/>
    <x v="1"/>
    <n v="3"/>
    <n v="79.989999999999995"/>
    <x v="3"/>
    <x v="4"/>
    <s v="Standard"/>
    <x v="96"/>
    <n v="239.97"/>
  </r>
  <r>
    <s v="TRX0032"/>
    <x v="108"/>
    <s v="CUST041"/>
    <x v="10"/>
    <s v="P001"/>
    <x v="4"/>
    <x v="0"/>
    <n v="2"/>
    <n v="899.99"/>
    <x v="0"/>
    <x v="2"/>
    <s v="Basic"/>
    <x v="156"/>
    <n v="1799.98"/>
  </r>
  <r>
    <s v="TRX0081"/>
    <x v="109"/>
    <s v="CUST007"/>
    <x v="35"/>
    <s v="P008"/>
    <x v="2"/>
    <x v="2"/>
    <n v="1"/>
    <n v="149.99"/>
    <x v="3"/>
    <x v="4"/>
    <s v="Standard"/>
    <x v="157"/>
    <n v="149.99"/>
  </r>
  <r>
    <s v="TRX0224"/>
    <x v="109"/>
    <s v="CUST031"/>
    <x v="26"/>
    <s v="P007"/>
    <x v="6"/>
    <x v="2"/>
    <n v="2"/>
    <n v="299.99"/>
    <x v="0"/>
    <x v="4"/>
    <s v="Premium"/>
    <x v="158"/>
    <n v="599.98"/>
  </r>
  <r>
    <s v="TRX0028"/>
    <x v="110"/>
    <s v="CUST002"/>
    <x v="25"/>
    <s v="P005"/>
    <x v="1"/>
    <x v="1"/>
    <n v="2"/>
    <n v="59.99"/>
    <x v="0"/>
    <x v="3"/>
    <s v="Basic"/>
    <x v="159"/>
    <n v="119.98"/>
  </r>
  <r>
    <s v="TRX0183"/>
    <x v="111"/>
    <s v="CUST007"/>
    <x v="35"/>
    <s v="P010"/>
    <x v="8"/>
    <x v="0"/>
    <n v="1"/>
    <n v="89.99"/>
    <x v="3"/>
    <x v="0"/>
    <s v="Standard"/>
    <x v="160"/>
    <n v="89.99"/>
  </r>
  <r>
    <s v="TRX0163"/>
    <x v="111"/>
    <s v="CUST019"/>
    <x v="29"/>
    <s v="P001"/>
    <x v="4"/>
    <x v="0"/>
    <n v="5"/>
    <n v="899.99"/>
    <x v="3"/>
    <x v="4"/>
    <s v="Standard"/>
    <x v="161"/>
    <n v="4499.95"/>
  </r>
  <r>
    <s v="TRX0046"/>
    <x v="112"/>
    <s v="CUST003"/>
    <x v="4"/>
    <s v="P008"/>
    <x v="2"/>
    <x v="2"/>
    <n v="2"/>
    <n v="149.99"/>
    <x v="0"/>
    <x v="1"/>
    <s v="Basic"/>
    <x v="162"/>
    <n v="299.98"/>
  </r>
  <r>
    <s v="TRX0164"/>
    <x v="113"/>
    <s v="CUST014"/>
    <x v="21"/>
    <s v="P003"/>
    <x v="3"/>
    <x v="0"/>
    <n v="2"/>
    <n v="149.99"/>
    <x v="3"/>
    <x v="3"/>
    <s v="Premium"/>
    <x v="163"/>
    <n v="299.98"/>
  </r>
  <r>
    <s v="TRX0008"/>
    <x v="113"/>
    <s v="CUST007"/>
    <x v="35"/>
    <s v="P008"/>
    <x v="2"/>
    <x v="2"/>
    <n v="3"/>
    <n v="149.99"/>
    <x v="3"/>
    <x v="2"/>
    <s v="Standard"/>
    <x v="164"/>
    <n v="449.97"/>
  </r>
  <r>
    <s v="TRX0171"/>
    <x v="114"/>
    <s v="CUST021"/>
    <x v="2"/>
    <s v="P007"/>
    <x v="6"/>
    <x v="2"/>
    <n v="2"/>
    <n v="299.99"/>
    <x v="2"/>
    <x v="1"/>
    <s v="Basic"/>
    <x v="165"/>
    <n v="599.98"/>
  </r>
  <r>
    <s v="TRX0143"/>
    <x v="115"/>
    <s v="CUST003"/>
    <x v="4"/>
    <s v="P007"/>
    <x v="6"/>
    <x v="2"/>
    <n v="2"/>
    <n v="299.99"/>
    <x v="0"/>
    <x v="3"/>
    <s v="Basic"/>
    <x v="166"/>
    <n v="599.98"/>
  </r>
  <r>
    <s v="TRX0165"/>
    <x v="115"/>
    <s v="CUST030"/>
    <x v="22"/>
    <s v="P006"/>
    <x v="9"/>
    <x v="2"/>
    <n v="4"/>
    <n v="199.99"/>
    <x v="1"/>
    <x v="0"/>
    <s v="Basic"/>
    <x v="82"/>
    <n v="799.96"/>
  </r>
  <r>
    <s v="TRX0156"/>
    <x v="116"/>
    <s v="CUST009"/>
    <x v="7"/>
    <s v="P010"/>
    <x v="8"/>
    <x v="0"/>
    <n v="1"/>
    <n v="89.99"/>
    <x v="1"/>
    <x v="1"/>
    <s v="Premium"/>
    <x v="167"/>
    <n v="89.99"/>
  </r>
  <r>
    <s v="TRX0147"/>
    <x v="116"/>
    <s v="CUST036"/>
    <x v="20"/>
    <s v="P008"/>
    <x v="2"/>
    <x v="2"/>
    <n v="5"/>
    <n v="149.99"/>
    <x v="0"/>
    <x v="0"/>
    <s v="Premium"/>
    <x v="168"/>
    <n v="749.95"/>
  </r>
  <r>
    <s v="TRX0207"/>
    <x v="117"/>
    <s v="CUST025"/>
    <x v="14"/>
    <s v="P001"/>
    <x v="4"/>
    <x v="0"/>
    <n v="1"/>
    <n v="899.99"/>
    <x v="2"/>
    <x v="2"/>
    <s v="Premium"/>
    <x v="169"/>
    <n v="899.99"/>
  </r>
  <r>
    <s v="TRX0056"/>
    <x v="118"/>
    <s v="CUST019"/>
    <x v="29"/>
    <s v="P010"/>
    <x v="8"/>
    <x v="0"/>
    <n v="2"/>
    <n v="89.99"/>
    <x v="1"/>
    <x v="1"/>
    <s v="Premium"/>
    <x v="170"/>
    <n v="179.98"/>
  </r>
  <r>
    <s v="TRX0026"/>
    <x v="119"/>
    <s v="CUST037"/>
    <x v="48"/>
    <s v="P001"/>
    <x v="4"/>
    <x v="0"/>
    <n v="1"/>
    <n v="899.99"/>
    <x v="2"/>
    <x v="2"/>
    <s v="Standard"/>
    <x v="171"/>
    <n v="899.99"/>
  </r>
  <r>
    <s v="TRX0237"/>
    <x v="120"/>
    <s v="CUST006"/>
    <x v="24"/>
    <s v="P003"/>
    <x v="3"/>
    <x v="0"/>
    <n v="5"/>
    <n v="149.99"/>
    <x v="2"/>
    <x v="4"/>
    <s v="Premium"/>
    <x v="34"/>
    <n v="749.95"/>
  </r>
  <r>
    <s v="TRX0091"/>
    <x v="120"/>
    <s v="CUST003"/>
    <x v="4"/>
    <s v="P007"/>
    <x v="6"/>
    <x v="2"/>
    <n v="3"/>
    <n v="299.99"/>
    <x v="0"/>
    <x v="1"/>
    <s v="Standard"/>
    <x v="172"/>
    <n v="899.97"/>
  </r>
  <r>
    <s v="TRX0125"/>
    <x v="121"/>
    <s v="CUST026"/>
    <x v="8"/>
    <s v="P002"/>
    <x v="5"/>
    <x v="0"/>
    <n v="3"/>
    <n v="699.99"/>
    <x v="1"/>
    <x v="0"/>
    <s v="Premium"/>
    <x v="173"/>
    <n v="2099.9699999999998"/>
  </r>
  <r>
    <s v="TRX0223"/>
    <x v="122"/>
    <s v="CUST036"/>
    <x v="20"/>
    <s v="P006"/>
    <x v="9"/>
    <x v="2"/>
    <n v="5"/>
    <n v="199.99"/>
    <x v="2"/>
    <x v="0"/>
    <s v="Standard"/>
    <x v="174"/>
    <n v="999.95"/>
  </r>
  <r>
    <s v="TRX0243"/>
    <x v="122"/>
    <s v="CUST048"/>
    <x v="16"/>
    <s v="P009"/>
    <x v="0"/>
    <x v="0"/>
    <n v="5"/>
    <n v="249.99"/>
    <x v="1"/>
    <x v="1"/>
    <s v="Basic"/>
    <x v="175"/>
    <n v="1249.95"/>
  </r>
  <r>
    <s v="TRX0084"/>
    <x v="123"/>
    <s v="CUST031"/>
    <x v="26"/>
    <s v="P003"/>
    <x v="3"/>
    <x v="0"/>
    <n v="4"/>
    <n v="149.99"/>
    <x v="3"/>
    <x v="4"/>
    <s v="Standard"/>
    <x v="176"/>
    <n v="599.96"/>
  </r>
  <r>
    <s v="TRX0238"/>
    <x v="123"/>
    <s v="CUST038"/>
    <x v="12"/>
    <s v="P002"/>
    <x v="5"/>
    <x v="0"/>
    <n v="3"/>
    <n v="699.99"/>
    <x v="0"/>
    <x v="2"/>
    <s v="Premium"/>
    <x v="177"/>
    <n v="2099.9699999999998"/>
  </r>
  <r>
    <s v="TRX0102"/>
    <x v="124"/>
    <s v="CUST045"/>
    <x v="46"/>
    <s v="P004"/>
    <x v="7"/>
    <x v="1"/>
    <n v="1"/>
    <n v="79.989999999999995"/>
    <x v="1"/>
    <x v="1"/>
    <s v="Basic"/>
    <x v="178"/>
    <n v="79.989999999999995"/>
  </r>
  <r>
    <s v="TRX0022"/>
    <x v="124"/>
    <s v="CUST025"/>
    <x v="14"/>
    <s v="P007"/>
    <x v="6"/>
    <x v="2"/>
    <n v="1"/>
    <n v="299.99"/>
    <x v="1"/>
    <x v="2"/>
    <s v="Basic"/>
    <x v="179"/>
    <n v="299.99"/>
  </r>
  <r>
    <s v="TRX0087"/>
    <x v="125"/>
    <s v="CUST028"/>
    <x v="32"/>
    <s v="P009"/>
    <x v="0"/>
    <x v="0"/>
    <n v="4"/>
    <n v="249.99"/>
    <x v="1"/>
    <x v="2"/>
    <s v="Premium"/>
    <x v="116"/>
    <n v="999.96"/>
  </r>
  <r>
    <s v="TRX0107"/>
    <x v="125"/>
    <s v="CUST030"/>
    <x v="22"/>
    <s v="P003"/>
    <x v="3"/>
    <x v="0"/>
    <n v="2"/>
    <n v="149.99"/>
    <x v="0"/>
    <x v="2"/>
    <s v="Standard"/>
    <x v="180"/>
    <n v="299.98"/>
  </r>
  <r>
    <s v="TRX0051"/>
    <x v="125"/>
    <s v="CUST032"/>
    <x v="42"/>
    <s v="P007"/>
    <x v="6"/>
    <x v="2"/>
    <n v="3"/>
    <n v="299.99"/>
    <x v="1"/>
    <x v="1"/>
    <s v="Basic"/>
    <x v="181"/>
    <n v="899.97"/>
  </r>
  <r>
    <s v="TRX0106"/>
    <x v="126"/>
    <s v="CUST039"/>
    <x v="40"/>
    <s v="P006"/>
    <x v="9"/>
    <x v="2"/>
    <n v="4"/>
    <n v="199.99"/>
    <x v="3"/>
    <x v="1"/>
    <s v="Standard"/>
    <x v="182"/>
    <n v="799.96"/>
  </r>
  <r>
    <s v="TRX0059"/>
    <x v="126"/>
    <s v="CUST016"/>
    <x v="39"/>
    <s v="P007"/>
    <x v="6"/>
    <x v="2"/>
    <n v="5"/>
    <n v="299.99"/>
    <x v="3"/>
    <x v="0"/>
    <s v="Basic"/>
    <x v="183"/>
    <n v="1499.95"/>
  </r>
  <r>
    <s v="TRX0072"/>
    <x v="126"/>
    <s v="CUST009"/>
    <x v="7"/>
    <s v="P008"/>
    <x v="2"/>
    <x v="2"/>
    <n v="3"/>
    <n v="149.99"/>
    <x v="1"/>
    <x v="4"/>
    <s v="Standard"/>
    <x v="184"/>
    <n v="449.97"/>
  </r>
  <r>
    <s v="TRX0110"/>
    <x v="127"/>
    <s v="CUST006"/>
    <x v="24"/>
    <s v="P005"/>
    <x v="1"/>
    <x v="1"/>
    <n v="5"/>
    <n v="59.99"/>
    <x v="3"/>
    <x v="4"/>
    <s v="Basic"/>
    <x v="185"/>
    <n v="299.95"/>
  </r>
  <r>
    <s v="TRX0126"/>
    <x v="128"/>
    <s v="CUST022"/>
    <x v="9"/>
    <s v="P005"/>
    <x v="1"/>
    <x v="1"/>
    <n v="4"/>
    <n v="59.99"/>
    <x v="3"/>
    <x v="4"/>
    <s v="Standard"/>
    <x v="170"/>
    <n v="239.96"/>
  </r>
  <r>
    <s v="TRX0159"/>
    <x v="129"/>
    <s v="CUST024"/>
    <x v="5"/>
    <s v="P009"/>
    <x v="0"/>
    <x v="0"/>
    <n v="4"/>
    <n v="249.99"/>
    <x v="3"/>
    <x v="0"/>
    <s v="Premium"/>
    <x v="186"/>
    <n v="999.96"/>
  </r>
  <r>
    <s v="TRX0030"/>
    <x v="130"/>
    <s v="CUST011"/>
    <x v="44"/>
    <s v="P001"/>
    <x v="4"/>
    <x v="0"/>
    <n v="4"/>
    <n v="899.99"/>
    <x v="2"/>
    <x v="0"/>
    <s v="Basic"/>
    <x v="187"/>
    <n v="3599.96"/>
  </r>
  <r>
    <s v="TRX0178"/>
    <x v="130"/>
    <s v="CUST025"/>
    <x v="14"/>
    <s v="P007"/>
    <x v="6"/>
    <x v="2"/>
    <n v="3"/>
    <n v="299.99"/>
    <x v="3"/>
    <x v="3"/>
    <s v="Standard"/>
    <x v="188"/>
    <n v="899.97"/>
  </r>
  <r>
    <s v="TRX0188"/>
    <x v="130"/>
    <s v="CUST045"/>
    <x v="46"/>
    <s v="P002"/>
    <x v="5"/>
    <x v="0"/>
    <n v="2"/>
    <n v="699.99"/>
    <x v="3"/>
    <x v="0"/>
    <s v="Premium"/>
    <x v="189"/>
    <n v="1399.98"/>
  </r>
  <r>
    <s v="TRX0010"/>
    <x v="131"/>
    <s v="CUST026"/>
    <x v="8"/>
    <s v="P002"/>
    <x v="5"/>
    <x v="0"/>
    <n v="4"/>
    <n v="699.99"/>
    <x v="3"/>
    <x v="3"/>
    <s v="Premium"/>
    <x v="190"/>
    <n v="2799.96"/>
  </r>
  <r>
    <s v="TRX0069"/>
    <x v="131"/>
    <s v="CUST029"/>
    <x v="23"/>
    <s v="P010"/>
    <x v="8"/>
    <x v="0"/>
    <n v="2"/>
    <n v="89.99"/>
    <x v="3"/>
    <x v="1"/>
    <s v="Basic"/>
    <x v="191"/>
    <n v="179.98"/>
  </r>
  <r>
    <s v="TRX0166"/>
    <x v="131"/>
    <s v="CUST003"/>
    <x v="4"/>
    <s v="P010"/>
    <x v="8"/>
    <x v="0"/>
    <n v="3"/>
    <n v="89.99"/>
    <x v="3"/>
    <x v="1"/>
    <s v="Premium"/>
    <x v="192"/>
    <n v="269.97000000000003"/>
  </r>
  <r>
    <s v="TRX0219"/>
    <x v="132"/>
    <s v="CUST037"/>
    <x v="48"/>
    <s v="P005"/>
    <x v="1"/>
    <x v="1"/>
    <n v="1"/>
    <n v="59.99"/>
    <x v="3"/>
    <x v="0"/>
    <s v="Standard"/>
    <x v="193"/>
    <n v="59.99"/>
  </r>
  <r>
    <s v="TRX0024"/>
    <x v="133"/>
    <s v="CUST042"/>
    <x v="43"/>
    <s v="P008"/>
    <x v="2"/>
    <x v="2"/>
    <n v="3"/>
    <n v="149.99"/>
    <x v="3"/>
    <x v="2"/>
    <s v="Premium"/>
    <x v="170"/>
    <n v="449.97"/>
  </r>
  <r>
    <s v="TRX0105"/>
    <x v="133"/>
    <s v="CUST048"/>
    <x v="16"/>
    <s v="P007"/>
    <x v="6"/>
    <x v="2"/>
    <n v="5"/>
    <n v="299.99"/>
    <x v="1"/>
    <x v="1"/>
    <s v="Basic"/>
    <x v="194"/>
    <n v="1499.95"/>
  </r>
  <r>
    <s v="TRX0011"/>
    <x v="134"/>
    <s v="CUST040"/>
    <x v="30"/>
    <s v="P005"/>
    <x v="1"/>
    <x v="1"/>
    <n v="5"/>
    <n v="59.99"/>
    <x v="3"/>
    <x v="0"/>
    <s v="Standard"/>
    <x v="195"/>
    <n v="299.95"/>
  </r>
  <r>
    <s v="TRX0187"/>
    <x v="135"/>
    <s v="CUST036"/>
    <x v="20"/>
    <s v="P004"/>
    <x v="7"/>
    <x v="1"/>
    <n v="3"/>
    <n v="79.989999999999995"/>
    <x v="0"/>
    <x v="4"/>
    <s v="Premium"/>
    <x v="179"/>
    <n v="239.97"/>
  </r>
  <r>
    <s v="TRX0089"/>
    <x v="136"/>
    <s v="CUST021"/>
    <x v="2"/>
    <s v="P006"/>
    <x v="9"/>
    <x v="2"/>
    <n v="3"/>
    <n v="199.99"/>
    <x v="0"/>
    <x v="0"/>
    <s v="Basic"/>
    <x v="196"/>
    <n v="599.97"/>
  </r>
  <r>
    <s v="TRX0196"/>
    <x v="136"/>
    <s v="CUST023"/>
    <x v="0"/>
    <s v="P010"/>
    <x v="8"/>
    <x v="0"/>
    <n v="2"/>
    <n v="89.99"/>
    <x v="2"/>
    <x v="0"/>
    <s v="Basic"/>
    <x v="197"/>
    <n v="179.98"/>
  </r>
  <r>
    <s v="TRX0118"/>
    <x v="137"/>
    <s v="CUST015"/>
    <x v="45"/>
    <s v="P008"/>
    <x v="2"/>
    <x v="2"/>
    <n v="2"/>
    <n v="149.99"/>
    <x v="0"/>
    <x v="1"/>
    <s v="Premium"/>
    <x v="198"/>
    <n v="299.98"/>
  </r>
  <r>
    <s v="TRX0179"/>
    <x v="138"/>
    <s v="CUST029"/>
    <x v="23"/>
    <s v="P002"/>
    <x v="5"/>
    <x v="0"/>
    <n v="5"/>
    <n v="699.99"/>
    <x v="2"/>
    <x v="1"/>
    <s v="Premium"/>
    <x v="54"/>
    <n v="3499.95"/>
  </r>
  <r>
    <s v="TRX0168"/>
    <x v="138"/>
    <s v="CUST003"/>
    <x v="4"/>
    <s v="P008"/>
    <x v="2"/>
    <x v="2"/>
    <n v="3"/>
    <n v="149.99"/>
    <x v="2"/>
    <x v="0"/>
    <s v="Standard"/>
    <x v="174"/>
    <n v="449.97"/>
  </r>
  <r>
    <s v="TRX0214"/>
    <x v="139"/>
    <s v="CUST018"/>
    <x v="17"/>
    <s v="P001"/>
    <x v="4"/>
    <x v="0"/>
    <n v="3"/>
    <n v="899.99"/>
    <x v="0"/>
    <x v="4"/>
    <s v="Standard"/>
    <x v="199"/>
    <n v="2699.97"/>
  </r>
  <r>
    <s v="TRX0221"/>
    <x v="139"/>
    <s v="CUST033"/>
    <x v="37"/>
    <s v="P006"/>
    <x v="9"/>
    <x v="2"/>
    <n v="3"/>
    <n v="199.99"/>
    <x v="0"/>
    <x v="3"/>
    <s v="Premium"/>
    <x v="31"/>
    <n v="599.97"/>
  </r>
  <r>
    <s v="TRX0083"/>
    <x v="140"/>
    <s v="CUST017"/>
    <x v="6"/>
    <s v="P007"/>
    <x v="6"/>
    <x v="2"/>
    <n v="5"/>
    <n v="299.99"/>
    <x v="0"/>
    <x v="3"/>
    <s v="Standard"/>
    <x v="200"/>
    <n v="1499.95"/>
  </r>
  <r>
    <s v="TRX0151"/>
    <x v="140"/>
    <s v="CUST040"/>
    <x v="30"/>
    <s v="P002"/>
    <x v="5"/>
    <x v="0"/>
    <n v="1"/>
    <n v="699.99"/>
    <x v="2"/>
    <x v="3"/>
    <s v="Basic"/>
    <x v="201"/>
    <n v="699.99"/>
  </r>
  <r>
    <s v="TRX0047"/>
    <x v="141"/>
    <s v="CUST042"/>
    <x v="43"/>
    <s v="P002"/>
    <x v="5"/>
    <x v="0"/>
    <n v="1"/>
    <n v="699.99"/>
    <x v="0"/>
    <x v="2"/>
    <s v="Premium"/>
    <x v="145"/>
    <n v="699.99"/>
  </r>
  <r>
    <s v="TRX0200"/>
    <x v="141"/>
    <s v="CUST037"/>
    <x v="48"/>
    <s v="P008"/>
    <x v="2"/>
    <x v="2"/>
    <n v="4"/>
    <n v="149.99"/>
    <x v="2"/>
    <x v="2"/>
    <s v="Premium"/>
    <x v="30"/>
    <n v="599.96"/>
  </r>
  <r>
    <s v="TRX0062"/>
    <x v="141"/>
    <s v="CUST016"/>
    <x v="39"/>
    <s v="P010"/>
    <x v="8"/>
    <x v="0"/>
    <n v="5"/>
    <n v="89.99"/>
    <x v="2"/>
    <x v="3"/>
    <s v="Premium"/>
    <x v="202"/>
    <n v="449.95"/>
  </r>
  <r>
    <s v="TRX0182"/>
    <x v="142"/>
    <s v="CUST031"/>
    <x v="26"/>
    <s v="P006"/>
    <x v="9"/>
    <x v="2"/>
    <n v="2"/>
    <n v="199.99"/>
    <x v="0"/>
    <x v="0"/>
    <s v="Premium"/>
    <x v="203"/>
    <n v="399.98"/>
  </r>
  <r>
    <s v="TRX0229"/>
    <x v="143"/>
    <s v="CUST015"/>
    <x v="45"/>
    <s v="P005"/>
    <x v="1"/>
    <x v="1"/>
    <n v="4"/>
    <n v="59.99"/>
    <x v="0"/>
    <x v="3"/>
    <s v="Standard"/>
    <x v="204"/>
    <n v="239.96"/>
  </r>
  <r>
    <s v="TRX0048"/>
    <x v="143"/>
    <s v="CUST048"/>
    <x v="16"/>
    <s v="P007"/>
    <x v="6"/>
    <x v="2"/>
    <n v="2"/>
    <n v="299.99"/>
    <x v="2"/>
    <x v="1"/>
    <s v="Basic"/>
    <x v="205"/>
    <n v="599.98"/>
  </r>
  <r>
    <s v="TRX0227"/>
    <x v="144"/>
    <s v="CUST017"/>
    <x v="6"/>
    <s v="P008"/>
    <x v="2"/>
    <x v="2"/>
    <n v="2"/>
    <n v="149.99"/>
    <x v="0"/>
    <x v="0"/>
    <s v="Basic"/>
    <x v="32"/>
    <n v="299.98"/>
  </r>
  <r>
    <s v="TRX0226"/>
    <x v="145"/>
    <s v="CUST039"/>
    <x v="40"/>
    <s v="P002"/>
    <x v="5"/>
    <x v="0"/>
    <n v="5"/>
    <n v="699.99"/>
    <x v="3"/>
    <x v="4"/>
    <s v="Premium"/>
    <x v="65"/>
    <n v="3499.95"/>
  </r>
  <r>
    <s v="TRX0053"/>
    <x v="146"/>
    <s v="CUST043"/>
    <x v="11"/>
    <s v="P005"/>
    <x v="1"/>
    <x v="1"/>
    <n v="5"/>
    <n v="59.99"/>
    <x v="0"/>
    <x v="3"/>
    <s v="Premium"/>
    <x v="206"/>
    <n v="299.95"/>
  </r>
  <r>
    <s v="TRX0233"/>
    <x v="147"/>
    <s v="CUST023"/>
    <x v="0"/>
    <s v="P010"/>
    <x v="8"/>
    <x v="0"/>
    <n v="2"/>
    <n v="89.99"/>
    <x v="1"/>
    <x v="3"/>
    <s v="Premium"/>
    <x v="4"/>
    <n v="179.98"/>
  </r>
  <r>
    <s v="TRX0175"/>
    <x v="147"/>
    <s v="CUST030"/>
    <x v="22"/>
    <s v="P009"/>
    <x v="0"/>
    <x v="0"/>
    <n v="5"/>
    <n v="249.99"/>
    <x v="0"/>
    <x v="4"/>
    <s v="Standard"/>
    <x v="207"/>
    <n v="1249.95"/>
  </r>
  <r>
    <s v="TRX0186"/>
    <x v="148"/>
    <s v="CUST039"/>
    <x v="40"/>
    <s v="P008"/>
    <x v="2"/>
    <x v="2"/>
    <n v="2"/>
    <n v="149.99"/>
    <x v="2"/>
    <x v="0"/>
    <s v="Premium"/>
    <x v="208"/>
    <n v="299.98"/>
  </r>
  <r>
    <s v="TRX0016"/>
    <x v="148"/>
    <s v="CUST035"/>
    <x v="28"/>
    <s v="P001"/>
    <x v="4"/>
    <x v="0"/>
    <n v="5"/>
    <n v="899.99"/>
    <x v="2"/>
    <x v="4"/>
    <s v="Premium"/>
    <x v="64"/>
    <n v="4499.95"/>
  </r>
  <r>
    <s v="TRX0199"/>
    <x v="148"/>
    <s v="CUST017"/>
    <x v="6"/>
    <s v="P008"/>
    <x v="2"/>
    <x v="2"/>
    <n v="4"/>
    <n v="149.99"/>
    <x v="0"/>
    <x v="0"/>
    <s v="Standard"/>
    <x v="209"/>
    <n v="599.96"/>
  </r>
  <r>
    <s v="TRX0038"/>
    <x v="149"/>
    <s v="CUST035"/>
    <x v="28"/>
    <s v="P009"/>
    <x v="0"/>
    <x v="0"/>
    <n v="1"/>
    <n v="249.99"/>
    <x v="0"/>
    <x v="2"/>
    <s v="Standard"/>
    <x v="210"/>
    <n v="249.99"/>
  </r>
  <r>
    <s v="TRX0014"/>
    <x v="150"/>
    <s v="CUST033"/>
    <x v="37"/>
    <s v="P005"/>
    <x v="1"/>
    <x v="1"/>
    <n v="2"/>
    <n v="59.99"/>
    <x v="1"/>
    <x v="3"/>
    <s v="Basic"/>
    <x v="211"/>
    <n v="119.98"/>
  </r>
  <r>
    <s v="TRX0003"/>
    <x v="151"/>
    <s v="CUST002"/>
    <x v="25"/>
    <s v="P008"/>
    <x v="2"/>
    <x v="2"/>
    <n v="2"/>
    <n v="149.99"/>
    <x v="0"/>
    <x v="3"/>
    <s v="Premium"/>
    <x v="212"/>
    <n v="299.98"/>
  </r>
  <r>
    <s v="TRX0124"/>
    <x v="151"/>
    <s v="CUST040"/>
    <x v="30"/>
    <s v="P001"/>
    <x v="4"/>
    <x v="0"/>
    <n v="3"/>
    <n v="899.99"/>
    <x v="3"/>
    <x v="2"/>
    <s v="Premium"/>
    <x v="213"/>
    <n v="2699.97"/>
  </r>
  <r>
    <s v="TRX0013"/>
    <x v="151"/>
    <s v="CUST024"/>
    <x v="5"/>
    <s v="P001"/>
    <x v="4"/>
    <x v="0"/>
    <n v="3"/>
    <n v="899.99"/>
    <x v="2"/>
    <x v="2"/>
    <s v="Basic"/>
    <x v="214"/>
    <n v="2699.97"/>
  </r>
  <r>
    <s v="TRX0019"/>
    <x v="152"/>
    <s v="CUST023"/>
    <x v="0"/>
    <s v="P007"/>
    <x v="6"/>
    <x v="2"/>
    <n v="3"/>
    <n v="299.99"/>
    <x v="1"/>
    <x v="3"/>
    <s v="Premium"/>
    <x v="215"/>
    <n v="899.97"/>
  </r>
  <r>
    <s v="TRX0050"/>
    <x v="153"/>
    <s v="CUST001"/>
    <x v="49"/>
    <s v="P008"/>
    <x v="2"/>
    <x v="2"/>
    <n v="4"/>
    <n v="149.99"/>
    <x v="2"/>
    <x v="3"/>
    <s v="Standard"/>
    <x v="144"/>
    <n v="599.96"/>
  </r>
  <r>
    <s v="TRX0152"/>
    <x v="154"/>
    <s v="CUST044"/>
    <x v="19"/>
    <s v="P004"/>
    <x v="7"/>
    <x v="1"/>
    <n v="4"/>
    <n v="79.989999999999995"/>
    <x v="1"/>
    <x v="0"/>
    <s v="Basic"/>
    <x v="216"/>
    <n v="319.95999999999998"/>
  </r>
  <r>
    <s v="TRX0213"/>
    <x v="155"/>
    <s v="CUST020"/>
    <x v="36"/>
    <s v="P010"/>
    <x v="8"/>
    <x v="0"/>
    <n v="5"/>
    <n v="89.99"/>
    <x v="2"/>
    <x v="1"/>
    <s v="Basic"/>
    <x v="217"/>
    <n v="449.95"/>
  </r>
  <r>
    <s v="TRX0197"/>
    <x v="156"/>
    <s v="CUST048"/>
    <x v="16"/>
    <s v="P008"/>
    <x v="2"/>
    <x v="2"/>
    <n v="3"/>
    <n v="149.99"/>
    <x v="2"/>
    <x v="0"/>
    <s v="Standard"/>
    <x v="218"/>
    <n v="449.97"/>
  </r>
  <r>
    <s v="TRX0250"/>
    <x v="156"/>
    <s v="CUST026"/>
    <x v="8"/>
    <s v="P010"/>
    <x v="8"/>
    <x v="0"/>
    <n v="2"/>
    <n v="89.99"/>
    <x v="3"/>
    <x v="3"/>
    <s v="Premium"/>
    <x v="164"/>
    <n v="179.98"/>
  </r>
  <r>
    <s v="TRX0068"/>
    <x v="157"/>
    <s v="CUST044"/>
    <x v="19"/>
    <s v="P002"/>
    <x v="5"/>
    <x v="0"/>
    <n v="2"/>
    <n v="699.99"/>
    <x v="2"/>
    <x v="2"/>
    <s v="Standard"/>
    <x v="111"/>
    <n v="1399.98"/>
  </r>
  <r>
    <s v="TRX0144"/>
    <x v="158"/>
    <s v="CUST029"/>
    <x v="23"/>
    <s v="P001"/>
    <x v="4"/>
    <x v="0"/>
    <n v="3"/>
    <n v="899.99"/>
    <x v="0"/>
    <x v="0"/>
    <s v="Standard"/>
    <x v="115"/>
    <n v="2699.97"/>
  </r>
  <r>
    <s v="TRX0039"/>
    <x v="159"/>
    <s v="CUST048"/>
    <x v="16"/>
    <s v="P004"/>
    <x v="7"/>
    <x v="1"/>
    <n v="3"/>
    <n v="79.989999999999995"/>
    <x v="1"/>
    <x v="2"/>
    <s v="Basic"/>
    <x v="219"/>
    <n v="239.97"/>
  </r>
  <r>
    <s v="TRX0116"/>
    <x v="160"/>
    <s v="CUST009"/>
    <x v="7"/>
    <s v="P010"/>
    <x v="8"/>
    <x v="0"/>
    <n v="1"/>
    <n v="89.99"/>
    <x v="3"/>
    <x v="4"/>
    <s v="Basic"/>
    <x v="220"/>
    <n v="89.99"/>
  </r>
  <r>
    <s v="TRX0120"/>
    <x v="161"/>
    <s v="CUST045"/>
    <x v="46"/>
    <s v="P002"/>
    <x v="5"/>
    <x v="0"/>
    <n v="3"/>
    <n v="699.99"/>
    <x v="2"/>
    <x v="2"/>
    <s v="Basic"/>
    <x v="67"/>
    <n v="2099.9699999999998"/>
  </r>
  <r>
    <s v="TRX0103"/>
    <x v="161"/>
    <s v="CUST039"/>
    <x v="40"/>
    <s v="P010"/>
    <x v="8"/>
    <x v="0"/>
    <n v="2"/>
    <n v="89.99"/>
    <x v="3"/>
    <x v="4"/>
    <s v="Basic"/>
    <x v="221"/>
    <n v="179.98"/>
  </r>
  <r>
    <s v="TRX0064"/>
    <x v="161"/>
    <s v="CUST031"/>
    <x v="26"/>
    <s v="P010"/>
    <x v="8"/>
    <x v="0"/>
    <n v="3"/>
    <n v="89.99"/>
    <x v="3"/>
    <x v="2"/>
    <s v="Premium"/>
    <x v="222"/>
    <n v="269.97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46FD4F-C0C7-4B71-87CA-3E8FBE48847A}"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20">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axis="axisRow" showAll="0" measureFilter="1">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pivotField showAll="0">
      <items count="4">
        <item x="1"/>
        <item x="0"/>
        <item x="2"/>
        <item t="default"/>
      </items>
    </pivotField>
    <pivotField showAll="0"/>
    <pivotField showAll="0"/>
    <pivotField showAll="0"/>
    <pivotField showAll="0">
      <items count="6">
        <item x="0"/>
        <item x="4"/>
        <item x="2"/>
        <item x="1"/>
        <item x="3"/>
        <item t="default"/>
      </items>
    </pivotField>
    <pivotField showAll="0"/>
    <pivotField numFmtId="1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v="1"/>
    </i>
    <i>
      <x v="11"/>
    </i>
    <i>
      <x v="32"/>
    </i>
    <i>
      <x v="36"/>
    </i>
    <i>
      <x v="37"/>
    </i>
    <i t="grand">
      <x/>
    </i>
  </rowItems>
  <colItems count="1">
    <i/>
  </colItems>
  <dataFields count="1">
    <dataField name="Sum of Total_Amount" fld="13"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8816F0-C1F9-481C-ABF5-213D56210F7F}"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20">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axis="axisRow" showAll="0">
      <items count="4">
        <item x="1"/>
        <item x="0"/>
        <item x="2"/>
        <item t="default"/>
      </items>
    </pivotField>
    <pivotField showAll="0"/>
    <pivotField dataField="1" showAll="0"/>
    <pivotField showAll="0"/>
    <pivotField showAll="0">
      <items count="6">
        <item x="0"/>
        <item x="4"/>
        <item x="2"/>
        <item x="1"/>
        <item x="3"/>
        <item t="default"/>
      </items>
    </pivotField>
    <pivotField showAll="0"/>
    <pivotField numFmtId="1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4">
    <i>
      <x/>
    </i>
    <i>
      <x v="1"/>
    </i>
    <i>
      <x v="2"/>
    </i>
    <i t="grand">
      <x/>
    </i>
  </rowItems>
  <colItems count="1">
    <i/>
  </colItems>
  <dataFields count="1">
    <dataField name="Sum of Unit_Price" fld="8"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2"/>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6" count="1" selected="0">
            <x v="0"/>
          </reference>
        </references>
      </pivotArea>
    </chartFormat>
    <chartFormat chart="6" format="10">
      <pivotArea type="data" outline="0" fieldPosition="0">
        <references count="2">
          <reference field="4294967294" count="1" selected="0">
            <x v="0"/>
          </reference>
          <reference field="6" count="1" selected="0">
            <x v="1"/>
          </reference>
        </references>
      </pivotArea>
    </chartFormat>
    <chartFormat chart="6"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A74FB8-042A-4B35-903D-68EF7AFE0DD4}"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4" firstHeaderRow="1" firstDataRow="1" firstDataCol="1"/>
  <pivotFields count="20">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axis="axisRow" showAll="0">
      <items count="11">
        <item x="1"/>
        <item x="2"/>
        <item x="7"/>
        <item x="6"/>
        <item x="3"/>
        <item x="8"/>
        <item x="4"/>
        <item x="0"/>
        <item x="9"/>
        <item x="5"/>
        <item t="default"/>
      </items>
    </pivotField>
    <pivotField showAll="0">
      <items count="4">
        <item x="1"/>
        <item x="0"/>
        <item x="2"/>
        <item t="default"/>
      </items>
    </pivotField>
    <pivotField dataField="1" showAll="0"/>
    <pivotField showAll="0"/>
    <pivotField showAll="0"/>
    <pivotField showAll="0">
      <items count="6">
        <item x="0"/>
        <item x="4"/>
        <item x="2"/>
        <item x="1"/>
        <item x="3"/>
        <item t="default"/>
      </items>
    </pivotField>
    <pivotField showAll="0"/>
    <pivotField numFmtId="1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11">
    <i>
      <x/>
    </i>
    <i>
      <x v="1"/>
    </i>
    <i>
      <x v="2"/>
    </i>
    <i>
      <x v="3"/>
    </i>
    <i>
      <x v="4"/>
    </i>
    <i>
      <x v="5"/>
    </i>
    <i>
      <x v="6"/>
    </i>
    <i>
      <x v="7"/>
    </i>
    <i>
      <x v="8"/>
    </i>
    <i>
      <x v="9"/>
    </i>
    <i t="grand">
      <x/>
    </i>
  </rowItems>
  <colItems count="1">
    <i/>
  </colItems>
  <dataFields count="1">
    <dataField name="Sum of Quantity" fld="7"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B37867-1945-4850-B918-57A62D43D9D3}"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20">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showAll="0"/>
    <pivotField showAll="0"/>
    <pivotField showAll="0"/>
    <pivotField dataField="1" showAll="0">
      <items count="6">
        <item x="0"/>
        <item x="4"/>
        <item x="2"/>
        <item x="1"/>
        <item x="3"/>
        <item t="default"/>
      </items>
    </pivotField>
    <pivotField showAll="0"/>
    <pivotField axis="axisRow" numFmtId="1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4">
    <field x="16"/>
    <field x="15"/>
    <field x="14"/>
    <field x="12"/>
  </rowFields>
  <rowItems count="5">
    <i>
      <x v="1"/>
    </i>
    <i>
      <x v="2"/>
    </i>
    <i>
      <x v="3"/>
    </i>
    <i>
      <x v="4"/>
    </i>
    <i t="grand">
      <x/>
    </i>
  </rowItems>
  <colItems count="1">
    <i/>
  </colItems>
  <dataFields count="1">
    <dataField name="Count of Region" fld="10"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4"/>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0" format="3">
      <pivotArea type="data" outline="0" fieldPosition="0">
        <references count="2">
          <reference field="4294967294" count="1" selected="0">
            <x v="0"/>
          </reference>
          <reference field="16" count="1" selected="0">
            <x v="2"/>
          </reference>
        </references>
      </pivotArea>
    </chartFormat>
    <chartFormat chart="0" format="4">
      <pivotArea type="data" outline="0" fieldPosition="0">
        <references count="2">
          <reference field="4294967294" count="1" selected="0">
            <x v="0"/>
          </reference>
          <reference field="16"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6" count="1" selected="0">
            <x v="1"/>
          </reference>
        </references>
      </pivotArea>
    </chartFormat>
    <chartFormat chart="5" format="12">
      <pivotArea type="data" outline="0" fieldPosition="0">
        <references count="2">
          <reference field="4294967294" count="1" selected="0">
            <x v="0"/>
          </reference>
          <reference field="16" count="1" selected="0">
            <x v="2"/>
          </reference>
        </references>
      </pivotArea>
    </chartFormat>
    <chartFormat chart="5" format="13">
      <pivotArea type="data" outline="0" fieldPosition="0">
        <references count="2">
          <reference field="4294967294" count="1" selected="0">
            <x v="0"/>
          </reference>
          <reference field="16" count="1" selected="0">
            <x v="3"/>
          </reference>
        </references>
      </pivotArea>
    </chartFormat>
    <chartFormat chart="5" format="14">
      <pivotArea type="data" outline="0" fieldPosition="0">
        <references count="2">
          <reference field="4294967294" count="1" selected="0">
            <x v="0"/>
          </reference>
          <reference field="1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E582E5-DA91-4B3C-A3E4-C8571E4DECAF}" name="PivotTable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6" firstHeaderRow="1" firstDataRow="1" firstDataCol="1"/>
  <pivotFields count="20">
    <pivotField showAll="0"/>
    <pivotField axis="axisRow"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items count="11">
        <item x="1"/>
        <item x="2"/>
        <item x="7"/>
        <item x="6"/>
        <item x="3"/>
        <item x="8"/>
        <item x="4"/>
        <item x="0"/>
        <item x="9"/>
        <item x="5"/>
        <item t="default"/>
      </items>
    </pivotField>
    <pivotField showAll="0">
      <items count="4">
        <item x="1"/>
        <item x="0"/>
        <item x="2"/>
        <item t="default"/>
      </items>
    </pivotField>
    <pivotField showAll="0"/>
    <pivotField showAll="0"/>
    <pivotField dataField="1" showAll="0">
      <items count="5">
        <item x="0"/>
        <item x="1"/>
        <item x="3"/>
        <item x="2"/>
        <item t="default"/>
      </items>
    </pivotField>
    <pivotField showAll="0">
      <items count="6">
        <item x="0"/>
        <item x="4"/>
        <item x="2"/>
        <item x="1"/>
        <item x="3"/>
        <item t="default"/>
      </items>
    </pivotField>
    <pivotField showAll="0"/>
    <pivotField numFmtId="1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showAll="0"/>
    <pivotField showAll="0" defaultSubtotal="0"/>
    <pivotField showAll="0" defaultSubtotal="0"/>
    <pivotField showAll="0" defaultSubtotal="0">
      <items count="6">
        <item x="0"/>
        <item x="1"/>
        <item x="2"/>
        <item x="3"/>
        <item x="4"/>
        <item x="5"/>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17"/>
    <field x="1"/>
  </rowFields>
  <rowItems count="13">
    <i>
      <x v="1"/>
    </i>
    <i>
      <x v="2"/>
    </i>
    <i>
      <x v="3"/>
    </i>
    <i>
      <x v="4"/>
    </i>
    <i>
      <x v="5"/>
    </i>
    <i>
      <x v="6"/>
    </i>
    <i>
      <x v="7"/>
    </i>
    <i>
      <x v="8"/>
    </i>
    <i>
      <x v="9"/>
    </i>
    <i>
      <x v="10"/>
    </i>
    <i>
      <x v="11"/>
    </i>
    <i>
      <x v="12"/>
    </i>
    <i t="grand">
      <x/>
    </i>
  </rowItems>
  <colItems count="1">
    <i/>
  </colItems>
  <dataFields count="1">
    <dataField name="Count of Payment_Method" fld="9" subtotal="count"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4F327173-23E9-4147-BF65-BF706F6CB7EC}" sourceName="Months (Date)">
  <pivotTables>
    <pivotTable tabId="13" name="PivotTable7"/>
    <pivotTable tabId="11" name="PivotTable5"/>
    <pivotTable tabId="9" name="PivotTable3"/>
    <pivotTable tabId="10" name="PivotTable4"/>
    <pivotTable tabId="12" name="PivotTable6"/>
  </pivotTables>
  <data>
    <tabular pivotCacheId="1499770956">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3BBC065-B18B-4B9A-AD8B-C2490C552577}" sourceName="Region">
  <pivotTables>
    <pivotTable tabId="11" name="PivotTable5"/>
    <pivotTable tabId="9" name="PivotTable3"/>
    <pivotTable tabId="10" name="PivotTable4"/>
    <pivotTable tabId="12" name="PivotTable6"/>
    <pivotTable tabId="13" name="PivotTable7"/>
  </pivotTables>
  <data>
    <tabular pivotCacheId="149977095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76C6A77-D27D-42DC-81AA-9CD0910F0865}" sourceName="Category">
  <pivotTables>
    <pivotTable tabId="11" name="PivotTable5"/>
    <pivotTable tabId="9" name="PivotTable3"/>
    <pivotTable tabId="10" name="PivotTable4"/>
    <pivotTable tabId="12" name="PivotTable6"/>
    <pivotTable tabId="13" name="PivotTable7"/>
  </pivotTables>
  <data>
    <tabular pivotCacheId="1499770956">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1" xr10:uid="{E70510B4-1DD8-4EEE-9C3A-FA7C8363DF55}" cache="Slicer_Months__Date" caption="Months (Date)" columnCount="2" style="SlicerStyleDark3" rowHeight="247650"/>
  <slicer name="Region 1" xr10:uid="{999091D3-96C2-4096-B6AD-AB9F9E0BBE95}" cache="Slicer_Region" caption="Region" style="SlicerStyleDark3" rowHeight="247650"/>
  <slicer name="Category 1" xr10:uid="{585626D7-B471-4E0A-87D3-61339E0C122D}" cache="Slicer_Category" caption="Category" style="SlicerStyleDark3"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C9A3AFE-AE5C-4F51-B3A3-0470F06F645E}" cache="Slicer_Region" caption="Region" style="SlicerStyleDark3" rowHeight="247650"/>
  <slicer name="Category" xr10:uid="{618B5749-FCCA-4A42-A8A4-810FCC9FC4B5}" cache="Slicer_Category" caption="Category" style="SlicerStyleDark3"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018A844F-8058-4775-A74D-2E1D0279101B}" cache="Slicer_Months__Date" caption="Months (Date)" columnCount="2" style="SlicerStyleDark3"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AD854-5E4A-47F6-9B94-97AB0A6C79E1}">
  <dimension ref="A1:J29"/>
  <sheetViews>
    <sheetView workbookViewId="0">
      <selection activeCell="L12" sqref="L12"/>
    </sheetView>
  </sheetViews>
  <sheetFormatPr defaultRowHeight="14.4" x14ac:dyDescent="0.3"/>
  <sheetData>
    <row r="1" spans="1:10" x14ac:dyDescent="0.3">
      <c r="A1" s="1" t="s">
        <v>0</v>
      </c>
      <c r="B1" s="2"/>
      <c r="C1" s="2"/>
      <c r="D1" s="2"/>
      <c r="E1" s="2"/>
      <c r="F1" s="2"/>
      <c r="G1" s="2"/>
      <c r="H1" s="2"/>
      <c r="I1" s="2"/>
      <c r="J1" s="3"/>
    </row>
    <row r="2" spans="1:10" x14ac:dyDescent="0.3">
      <c r="A2" s="4"/>
      <c r="B2" s="5"/>
      <c r="C2" s="5"/>
      <c r="D2" s="5"/>
      <c r="E2" s="5"/>
      <c r="F2" s="5"/>
      <c r="G2" s="5"/>
      <c r="H2" s="5"/>
      <c r="I2" s="5"/>
      <c r="J2" s="6"/>
    </row>
    <row r="3" spans="1:10" x14ac:dyDescent="0.3">
      <c r="A3" s="7" t="s">
        <v>1</v>
      </c>
      <c r="B3" s="5"/>
      <c r="C3" s="5"/>
      <c r="D3" s="5"/>
      <c r="E3" s="5"/>
      <c r="F3" s="5"/>
      <c r="G3" s="5"/>
      <c r="H3" s="5"/>
      <c r="I3" s="5"/>
      <c r="J3" s="6"/>
    </row>
    <row r="4" spans="1:10" x14ac:dyDescent="0.3">
      <c r="A4" s="8" t="s">
        <v>2</v>
      </c>
      <c r="B4" s="5"/>
      <c r="C4" s="5"/>
      <c r="D4" s="5"/>
      <c r="E4" s="5"/>
      <c r="F4" s="5"/>
      <c r="G4" s="5"/>
      <c r="H4" s="5"/>
      <c r="I4" s="5"/>
      <c r="J4" s="6"/>
    </row>
    <row r="5" spans="1:10" x14ac:dyDescent="0.3">
      <c r="A5" s="8" t="s">
        <v>3</v>
      </c>
      <c r="B5" s="5"/>
      <c r="C5" s="5"/>
      <c r="D5" s="5"/>
      <c r="E5" s="5"/>
      <c r="F5" s="5"/>
      <c r="G5" s="5"/>
      <c r="H5" s="5"/>
      <c r="I5" s="5"/>
      <c r="J5" s="6"/>
    </row>
    <row r="6" spans="1:10" x14ac:dyDescent="0.3">
      <c r="A6" s="4"/>
      <c r="B6" s="5"/>
      <c r="C6" s="5"/>
      <c r="D6" s="5"/>
      <c r="E6" s="5"/>
      <c r="F6" s="5"/>
      <c r="G6" s="5"/>
      <c r="H6" s="5"/>
      <c r="I6" s="5"/>
      <c r="J6" s="6"/>
    </row>
    <row r="7" spans="1:10" x14ac:dyDescent="0.3">
      <c r="A7" s="9" t="s">
        <v>4</v>
      </c>
      <c r="B7" s="5"/>
      <c r="C7" s="5"/>
      <c r="D7" s="5"/>
      <c r="E7" s="5"/>
      <c r="F7" s="5"/>
      <c r="G7" s="5"/>
      <c r="H7" s="5"/>
      <c r="I7" s="5"/>
      <c r="J7" s="6"/>
    </row>
    <row r="8" spans="1:10" x14ac:dyDescent="0.3">
      <c r="A8" s="10" t="s">
        <v>5</v>
      </c>
      <c r="B8" s="5"/>
      <c r="C8" s="5"/>
      <c r="D8" s="5"/>
      <c r="E8" s="5"/>
      <c r="F8" s="5"/>
      <c r="G8" s="5"/>
      <c r="H8" s="5"/>
      <c r="I8" s="5"/>
      <c r="J8" s="6"/>
    </row>
    <row r="9" spans="1:10" x14ac:dyDescent="0.3">
      <c r="A9" s="10" t="s">
        <v>6</v>
      </c>
      <c r="B9" s="5"/>
      <c r="C9" s="5"/>
      <c r="D9" s="5"/>
      <c r="E9" s="5"/>
      <c r="F9" s="5"/>
      <c r="G9" s="5"/>
      <c r="H9" s="5"/>
      <c r="I9" s="5"/>
      <c r="J9" s="6"/>
    </row>
    <row r="10" spans="1:10" x14ac:dyDescent="0.3">
      <c r="A10" s="10" t="s">
        <v>7</v>
      </c>
      <c r="B10" s="5"/>
      <c r="C10" s="5"/>
      <c r="D10" s="5"/>
      <c r="E10" s="5"/>
      <c r="F10" s="5"/>
      <c r="G10" s="5"/>
      <c r="H10" s="5"/>
      <c r="I10" s="5"/>
      <c r="J10" s="6"/>
    </row>
    <row r="11" spans="1:10" x14ac:dyDescent="0.3">
      <c r="A11" s="10" t="s">
        <v>8</v>
      </c>
      <c r="B11" s="5"/>
      <c r="C11" s="5"/>
      <c r="D11" s="5"/>
      <c r="E11" s="5"/>
      <c r="F11" s="5"/>
      <c r="G11" s="5"/>
      <c r="H11" s="5"/>
      <c r="I11" s="5"/>
      <c r="J11" s="6"/>
    </row>
    <row r="12" spans="1:10" x14ac:dyDescent="0.3">
      <c r="A12" s="10" t="s">
        <v>9</v>
      </c>
      <c r="B12" s="5"/>
      <c r="C12" s="5"/>
      <c r="D12" s="5"/>
      <c r="E12" s="5"/>
      <c r="F12" s="5"/>
      <c r="G12" s="5"/>
      <c r="H12" s="5"/>
      <c r="I12" s="5"/>
      <c r="J12" s="6"/>
    </row>
    <row r="13" spans="1:10" x14ac:dyDescent="0.3">
      <c r="A13" s="10" t="s">
        <v>10</v>
      </c>
      <c r="B13" s="5"/>
      <c r="C13" s="5"/>
      <c r="D13" s="5"/>
      <c r="E13" s="5"/>
      <c r="F13" s="5"/>
      <c r="G13" s="5"/>
      <c r="H13" s="5"/>
      <c r="I13" s="5"/>
      <c r="J13" s="6"/>
    </row>
    <row r="14" spans="1:10" x14ac:dyDescent="0.3">
      <c r="A14" s="10" t="s">
        <v>11</v>
      </c>
      <c r="B14" s="5"/>
      <c r="C14" s="5"/>
      <c r="D14" s="5"/>
      <c r="E14" s="5"/>
      <c r="F14" s="5"/>
      <c r="G14" s="5"/>
      <c r="H14" s="5"/>
      <c r="I14" s="5"/>
      <c r="J14" s="6"/>
    </row>
    <row r="15" spans="1:10" x14ac:dyDescent="0.3">
      <c r="A15" s="10" t="s">
        <v>12</v>
      </c>
      <c r="B15" s="5"/>
      <c r="C15" s="5"/>
      <c r="D15" s="5"/>
      <c r="E15" s="5"/>
      <c r="F15" s="5"/>
      <c r="G15" s="5"/>
      <c r="H15" s="5"/>
      <c r="I15" s="5"/>
      <c r="J15" s="6"/>
    </row>
    <row r="16" spans="1:10" x14ac:dyDescent="0.3">
      <c r="A16" s="10" t="s">
        <v>13</v>
      </c>
      <c r="B16" s="5"/>
      <c r="C16" s="5"/>
      <c r="D16" s="5"/>
      <c r="E16" s="5"/>
      <c r="F16" s="5"/>
      <c r="G16" s="5"/>
      <c r="H16" s="5"/>
      <c r="I16" s="5"/>
      <c r="J16" s="6"/>
    </row>
    <row r="17" spans="1:10" x14ac:dyDescent="0.3">
      <c r="A17" s="10" t="s">
        <v>14</v>
      </c>
      <c r="B17" s="5"/>
      <c r="C17" s="5"/>
      <c r="D17" s="5"/>
      <c r="E17" s="5"/>
      <c r="F17" s="5"/>
      <c r="G17" s="5"/>
      <c r="H17" s="5"/>
      <c r="I17" s="5"/>
      <c r="J17" s="6"/>
    </row>
    <row r="18" spans="1:10" x14ac:dyDescent="0.3">
      <c r="A18" s="10" t="s">
        <v>15</v>
      </c>
      <c r="B18" s="5"/>
      <c r="C18" s="5"/>
      <c r="D18" s="5"/>
      <c r="E18" s="5"/>
      <c r="F18" s="5"/>
      <c r="G18" s="5"/>
      <c r="H18" s="5"/>
      <c r="I18" s="5"/>
      <c r="J18" s="6"/>
    </row>
    <row r="19" spans="1:10" x14ac:dyDescent="0.3">
      <c r="A19" s="10" t="s">
        <v>16</v>
      </c>
      <c r="B19" s="5"/>
      <c r="C19" s="5"/>
      <c r="D19" s="5"/>
      <c r="E19" s="5"/>
      <c r="F19" s="5"/>
      <c r="G19" s="5"/>
      <c r="H19" s="5"/>
      <c r="I19" s="5"/>
      <c r="J19" s="6"/>
    </row>
    <row r="20" spans="1:10" x14ac:dyDescent="0.3">
      <c r="A20" s="10" t="s">
        <v>17</v>
      </c>
      <c r="B20" s="5"/>
      <c r="C20" s="5"/>
      <c r="D20" s="5"/>
      <c r="E20" s="5"/>
      <c r="F20" s="5"/>
      <c r="G20" s="5"/>
      <c r="H20" s="5"/>
      <c r="I20" s="5"/>
      <c r="J20" s="6"/>
    </row>
    <row r="21" spans="1:10" x14ac:dyDescent="0.3">
      <c r="A21" s="10" t="s">
        <v>18</v>
      </c>
      <c r="B21" s="5"/>
      <c r="C21" s="5"/>
      <c r="D21" s="5"/>
      <c r="E21" s="5"/>
      <c r="F21" s="5"/>
      <c r="G21" s="5"/>
      <c r="H21" s="5"/>
      <c r="I21" s="5"/>
      <c r="J21" s="6"/>
    </row>
    <row r="22" spans="1:10" x14ac:dyDescent="0.3">
      <c r="A22" s="10" t="s">
        <v>19</v>
      </c>
      <c r="B22" s="5"/>
      <c r="C22" s="5"/>
      <c r="D22" s="5"/>
      <c r="E22" s="5"/>
      <c r="F22" s="5"/>
      <c r="G22" s="5"/>
      <c r="H22" s="5"/>
      <c r="I22" s="5"/>
      <c r="J22" s="6"/>
    </row>
    <row r="23" spans="1:10" x14ac:dyDescent="0.3">
      <c r="A23" s="10" t="s">
        <v>20</v>
      </c>
      <c r="B23" s="5"/>
      <c r="C23" s="5"/>
      <c r="D23" s="5"/>
      <c r="E23" s="5"/>
      <c r="F23" s="5"/>
      <c r="G23" s="5"/>
      <c r="H23" s="5"/>
      <c r="I23" s="5"/>
      <c r="J23" s="6"/>
    </row>
    <row r="24" spans="1:10" x14ac:dyDescent="0.3">
      <c r="A24" s="10" t="s">
        <v>21</v>
      </c>
      <c r="B24" s="5"/>
      <c r="C24" s="5"/>
      <c r="D24" s="5"/>
      <c r="E24" s="5"/>
      <c r="F24" s="5"/>
      <c r="G24" s="5"/>
      <c r="H24" s="5"/>
      <c r="I24" s="5"/>
      <c r="J24" s="6"/>
    </row>
    <row r="25" spans="1:10" x14ac:dyDescent="0.3">
      <c r="A25" s="4"/>
      <c r="B25" s="5"/>
      <c r="C25" s="5"/>
      <c r="D25" s="5"/>
      <c r="E25" s="5"/>
      <c r="F25" s="5"/>
      <c r="G25" s="5"/>
      <c r="H25" s="5"/>
      <c r="I25" s="5"/>
      <c r="J25" s="6"/>
    </row>
    <row r="26" spans="1:10" x14ac:dyDescent="0.3">
      <c r="A26" s="7" t="s">
        <v>22</v>
      </c>
      <c r="B26" s="5"/>
      <c r="C26" s="5"/>
      <c r="D26" s="5"/>
      <c r="E26" s="5"/>
      <c r="F26" s="5"/>
      <c r="G26" s="5"/>
      <c r="H26" s="5"/>
      <c r="I26" s="5"/>
      <c r="J26" s="6"/>
    </row>
    <row r="27" spans="1:10" x14ac:dyDescent="0.3">
      <c r="A27" s="8" t="s">
        <v>23</v>
      </c>
      <c r="B27" s="5"/>
      <c r="C27" s="5"/>
      <c r="D27" s="5"/>
      <c r="E27" s="5"/>
      <c r="F27" s="5"/>
      <c r="G27" s="5"/>
      <c r="H27" s="5"/>
      <c r="I27" s="5"/>
      <c r="J27" s="6"/>
    </row>
    <row r="28" spans="1:10" x14ac:dyDescent="0.3">
      <c r="A28" s="8" t="s">
        <v>24</v>
      </c>
      <c r="B28" s="5"/>
      <c r="C28" s="5"/>
      <c r="D28" s="5"/>
      <c r="E28" s="5"/>
      <c r="F28" s="5"/>
      <c r="G28" s="5"/>
      <c r="H28" s="5"/>
      <c r="I28" s="5"/>
      <c r="J28" s="6"/>
    </row>
    <row r="29" spans="1:10" ht="15" thickBot="1" x14ac:dyDescent="0.35">
      <c r="A29" s="11" t="s">
        <v>25</v>
      </c>
      <c r="B29" s="12"/>
      <c r="C29" s="12"/>
      <c r="D29" s="12"/>
      <c r="E29" s="12"/>
      <c r="F29" s="12"/>
      <c r="G29" s="12"/>
      <c r="H29" s="12"/>
      <c r="I29" s="12"/>
      <c r="J29" s="1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CA9E1-50BA-40F5-9C66-4A32B01ED0CA}">
  <sheetPr>
    <tabColor theme="6" tint="-0.249977111117893"/>
  </sheetPr>
  <dimension ref="A1:W16"/>
  <sheetViews>
    <sheetView tabSelected="1" zoomScale="86" zoomScaleNormal="86" workbookViewId="0">
      <selection activeCell="Y11" sqref="Y11"/>
    </sheetView>
  </sheetViews>
  <sheetFormatPr defaultRowHeight="14.4" x14ac:dyDescent="0.3"/>
  <cols>
    <col min="1" max="1" width="8.88671875" style="44"/>
    <col min="2" max="2" width="29.109375" style="44" customWidth="1"/>
    <col min="3" max="16384" width="8.88671875" style="44"/>
  </cols>
  <sheetData>
    <row r="1" spans="1:23" ht="23.4" x14ac:dyDescent="0.45">
      <c r="A1" s="42"/>
      <c r="B1" s="42"/>
      <c r="C1" s="42"/>
      <c r="D1" s="42"/>
      <c r="E1" s="42"/>
      <c r="F1" s="42"/>
      <c r="G1" s="42"/>
      <c r="H1" s="42"/>
      <c r="I1" s="42"/>
      <c r="J1" s="42"/>
      <c r="K1" s="42"/>
      <c r="L1" s="43" t="s">
        <v>495</v>
      </c>
      <c r="M1" s="42"/>
      <c r="N1" s="42"/>
      <c r="O1" s="42"/>
      <c r="P1" s="42"/>
      <c r="Q1" s="42"/>
      <c r="R1" s="42"/>
      <c r="S1" s="42"/>
      <c r="T1" s="42"/>
      <c r="U1" s="42"/>
      <c r="V1" s="42"/>
      <c r="W1" s="42"/>
    </row>
    <row r="14" spans="1:23" ht="28.8" x14ac:dyDescent="0.55000000000000004">
      <c r="B14" s="46" t="s">
        <v>496</v>
      </c>
    </row>
    <row r="16" spans="1:23" ht="28.8" x14ac:dyDescent="0.55000000000000004">
      <c r="B16" s="45">
        <f>SUM(Final_Project_Dataset!N2:N251)</f>
        <v>229192.47000000032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C4C54-87E3-49BC-B0D9-92EBA06207AF}">
  <dimension ref="A1:N251"/>
  <sheetViews>
    <sheetView topLeftCell="A220" workbookViewId="0">
      <selection activeCell="D1" sqref="A1:N251"/>
    </sheetView>
  </sheetViews>
  <sheetFormatPr defaultRowHeight="14.4" x14ac:dyDescent="0.3"/>
  <cols>
    <col min="1" max="1" width="14.33203125" customWidth="1"/>
    <col min="2" max="2" width="14" customWidth="1"/>
    <col min="3" max="3" width="11.88671875" customWidth="1"/>
    <col min="4" max="4" width="17" customWidth="1"/>
    <col min="5" max="5" width="13.6640625" customWidth="1"/>
    <col min="6" max="6" width="15.21875" customWidth="1"/>
    <col min="7" max="7" width="18.33203125" customWidth="1"/>
    <col min="9" max="9" width="17.33203125" customWidth="1"/>
    <col min="10" max="10" width="15.109375" customWidth="1"/>
    <col min="11" max="11" width="14.77734375" customWidth="1"/>
    <col min="12" max="12" width="13.21875" customWidth="1"/>
    <col min="13" max="13" width="11.44140625" customWidth="1"/>
  </cols>
  <sheetData>
    <row r="1" spans="1:14" ht="28.8" x14ac:dyDescent="0.3">
      <c r="A1" s="14" t="s">
        <v>174</v>
      </c>
      <c r="B1" s="14" t="s">
        <v>26</v>
      </c>
      <c r="C1" s="14" t="s">
        <v>27</v>
      </c>
      <c r="D1" s="14" t="s">
        <v>28</v>
      </c>
      <c r="E1" s="14" t="s">
        <v>29</v>
      </c>
      <c r="F1" s="14" t="s">
        <v>30</v>
      </c>
      <c r="G1" s="14" t="s">
        <v>31</v>
      </c>
      <c r="H1" s="14" t="s">
        <v>32</v>
      </c>
      <c r="I1" s="14" t="s">
        <v>33</v>
      </c>
      <c r="J1" s="14" t="s">
        <v>34</v>
      </c>
      <c r="K1" s="14" t="s">
        <v>35</v>
      </c>
      <c r="L1" s="14" t="s">
        <v>36</v>
      </c>
      <c r="M1" s="14" t="s">
        <v>37</v>
      </c>
      <c r="N1" s="14" t="s">
        <v>38</v>
      </c>
    </row>
    <row r="2" spans="1:14" x14ac:dyDescent="0.3">
      <c r="A2" s="16" t="s">
        <v>175</v>
      </c>
      <c r="B2" s="15">
        <v>45393</v>
      </c>
      <c r="C2" s="16" t="s">
        <v>39</v>
      </c>
      <c r="D2" s="16" t="s">
        <v>40</v>
      </c>
      <c r="E2" s="16" t="s">
        <v>41</v>
      </c>
      <c r="F2" s="16" t="s">
        <v>42</v>
      </c>
      <c r="G2" s="16" t="s">
        <v>43</v>
      </c>
      <c r="H2" s="17">
        <v>3</v>
      </c>
      <c r="I2" s="17">
        <v>249.99</v>
      </c>
      <c r="J2" s="16" t="s">
        <v>44</v>
      </c>
      <c r="K2" s="16" t="s">
        <v>45</v>
      </c>
      <c r="L2" s="16" t="s">
        <v>46</v>
      </c>
      <c r="M2" s="15">
        <v>44425</v>
      </c>
      <c r="N2" s="17">
        <v>749.97</v>
      </c>
    </row>
    <row r="3" spans="1:14" x14ac:dyDescent="0.3">
      <c r="A3" s="16" t="s">
        <v>176</v>
      </c>
      <c r="B3" s="15">
        <v>45396</v>
      </c>
      <c r="C3" s="16" t="s">
        <v>47</v>
      </c>
      <c r="D3" s="16" t="s">
        <v>48</v>
      </c>
      <c r="E3" s="16" t="s">
        <v>41</v>
      </c>
      <c r="F3" s="16" t="s">
        <v>42</v>
      </c>
      <c r="G3" s="16" t="s">
        <v>43</v>
      </c>
      <c r="H3" s="17">
        <v>3</v>
      </c>
      <c r="I3" s="17">
        <v>249.99</v>
      </c>
      <c r="J3" s="16" t="s">
        <v>49</v>
      </c>
      <c r="K3" s="16" t="s">
        <v>45</v>
      </c>
      <c r="L3" s="16" t="s">
        <v>50</v>
      </c>
      <c r="M3" s="15">
        <v>44575</v>
      </c>
      <c r="N3" s="17">
        <v>749.97</v>
      </c>
    </row>
    <row r="4" spans="1:14" x14ac:dyDescent="0.3">
      <c r="A4" s="16" t="s">
        <v>177</v>
      </c>
      <c r="B4" s="15">
        <v>45399</v>
      </c>
      <c r="C4" s="16" t="s">
        <v>51</v>
      </c>
      <c r="D4" s="16" t="s">
        <v>52</v>
      </c>
      <c r="E4" s="16" t="s">
        <v>53</v>
      </c>
      <c r="F4" s="16" t="s">
        <v>54</v>
      </c>
      <c r="G4" s="16" t="s">
        <v>55</v>
      </c>
      <c r="H4" s="17">
        <v>3</v>
      </c>
      <c r="I4" s="17">
        <v>59.99</v>
      </c>
      <c r="J4" s="16" t="s">
        <v>56</v>
      </c>
      <c r="K4" s="16" t="s">
        <v>57</v>
      </c>
      <c r="L4" s="16" t="s">
        <v>58</v>
      </c>
      <c r="M4" s="15">
        <v>45262</v>
      </c>
      <c r="N4" s="17">
        <v>179.97</v>
      </c>
    </row>
    <row r="5" spans="1:14" x14ac:dyDescent="0.3">
      <c r="A5" s="16" t="s">
        <v>178</v>
      </c>
      <c r="B5" s="15">
        <v>45400</v>
      </c>
      <c r="C5" s="16" t="s">
        <v>59</v>
      </c>
      <c r="D5" s="16" t="s">
        <v>60</v>
      </c>
      <c r="E5" s="16" t="s">
        <v>53</v>
      </c>
      <c r="F5" s="16" t="s">
        <v>54</v>
      </c>
      <c r="G5" s="16" t="s">
        <v>55</v>
      </c>
      <c r="H5" s="17">
        <v>3</v>
      </c>
      <c r="I5" s="17">
        <v>59.99</v>
      </c>
      <c r="J5" s="16" t="s">
        <v>44</v>
      </c>
      <c r="K5" s="16" t="s">
        <v>61</v>
      </c>
      <c r="L5" s="16" t="s">
        <v>50</v>
      </c>
      <c r="M5" s="15">
        <v>45114</v>
      </c>
      <c r="N5" s="17">
        <v>179.97</v>
      </c>
    </row>
    <row r="6" spans="1:14" x14ac:dyDescent="0.3">
      <c r="A6" s="16" t="s">
        <v>179</v>
      </c>
      <c r="B6" s="15">
        <v>45400</v>
      </c>
      <c r="C6" s="16" t="s">
        <v>62</v>
      </c>
      <c r="D6" s="16" t="s">
        <v>63</v>
      </c>
      <c r="E6" s="16" t="s">
        <v>64</v>
      </c>
      <c r="F6" s="16" t="s">
        <v>65</v>
      </c>
      <c r="G6" s="16" t="s">
        <v>66</v>
      </c>
      <c r="H6" s="17">
        <v>5</v>
      </c>
      <c r="I6" s="17">
        <v>149.99</v>
      </c>
      <c r="J6" s="16" t="s">
        <v>49</v>
      </c>
      <c r="K6" s="16" t="s">
        <v>61</v>
      </c>
      <c r="L6" s="16" t="s">
        <v>50</v>
      </c>
      <c r="M6" s="15">
        <v>45295</v>
      </c>
      <c r="N6" s="17">
        <v>749.95</v>
      </c>
    </row>
    <row r="7" spans="1:14" x14ac:dyDescent="0.3">
      <c r="A7" s="16" t="s">
        <v>180</v>
      </c>
      <c r="B7" s="15">
        <v>45403</v>
      </c>
      <c r="C7" s="16" t="s">
        <v>67</v>
      </c>
      <c r="D7" s="16" t="s">
        <v>68</v>
      </c>
      <c r="E7" s="16" t="s">
        <v>53</v>
      </c>
      <c r="F7" s="16" t="s">
        <v>54</v>
      </c>
      <c r="G7" s="16" t="s">
        <v>55</v>
      </c>
      <c r="H7" s="17">
        <v>2</v>
      </c>
      <c r="I7" s="17">
        <v>59.99</v>
      </c>
      <c r="J7" s="16" t="s">
        <v>44</v>
      </c>
      <c r="K7" s="16" t="s">
        <v>69</v>
      </c>
      <c r="L7" s="16" t="s">
        <v>58</v>
      </c>
      <c r="M7" s="15">
        <v>44746</v>
      </c>
      <c r="N7" s="17">
        <v>119.98</v>
      </c>
    </row>
    <row r="8" spans="1:14" x14ac:dyDescent="0.3">
      <c r="A8" s="16" t="s">
        <v>181</v>
      </c>
      <c r="B8" s="15">
        <v>45403</v>
      </c>
      <c r="C8" s="16" t="s">
        <v>67</v>
      </c>
      <c r="D8" s="16" t="s">
        <v>68</v>
      </c>
      <c r="E8" s="16" t="s">
        <v>70</v>
      </c>
      <c r="F8" s="16" t="s">
        <v>71</v>
      </c>
      <c r="G8" s="16" t="s">
        <v>43</v>
      </c>
      <c r="H8" s="17">
        <v>5</v>
      </c>
      <c r="I8" s="17">
        <v>149.99</v>
      </c>
      <c r="J8" s="16" t="s">
        <v>49</v>
      </c>
      <c r="K8" s="16" t="s">
        <v>45</v>
      </c>
      <c r="L8" s="16" t="s">
        <v>58</v>
      </c>
      <c r="M8" s="15">
        <v>44418</v>
      </c>
      <c r="N8" s="17">
        <v>749.95</v>
      </c>
    </row>
    <row r="9" spans="1:14" x14ac:dyDescent="0.3">
      <c r="A9" s="16" t="s">
        <v>182</v>
      </c>
      <c r="B9" s="15">
        <v>45403</v>
      </c>
      <c r="C9" s="16" t="s">
        <v>72</v>
      </c>
      <c r="D9" s="16" t="s">
        <v>73</v>
      </c>
      <c r="E9" s="16" t="s">
        <v>53</v>
      </c>
      <c r="F9" s="16" t="s">
        <v>54</v>
      </c>
      <c r="G9" s="16" t="s">
        <v>55</v>
      </c>
      <c r="H9" s="17">
        <v>3</v>
      </c>
      <c r="I9" s="17">
        <v>59.99</v>
      </c>
      <c r="J9" s="16" t="s">
        <v>74</v>
      </c>
      <c r="K9" s="16" t="s">
        <v>57</v>
      </c>
      <c r="L9" s="16" t="s">
        <v>46</v>
      </c>
      <c r="M9" s="15">
        <v>45007</v>
      </c>
      <c r="N9" s="17">
        <v>179.97</v>
      </c>
    </row>
    <row r="10" spans="1:14" x14ac:dyDescent="0.3">
      <c r="A10" s="16" t="s">
        <v>183</v>
      </c>
      <c r="B10" s="15">
        <v>45405</v>
      </c>
      <c r="C10" s="16" t="s">
        <v>75</v>
      </c>
      <c r="D10" s="16" t="s">
        <v>76</v>
      </c>
      <c r="E10" s="16" t="s">
        <v>77</v>
      </c>
      <c r="F10" s="16" t="s">
        <v>78</v>
      </c>
      <c r="G10" s="16" t="s">
        <v>43</v>
      </c>
      <c r="H10" s="17">
        <v>3</v>
      </c>
      <c r="I10" s="17">
        <v>899.99</v>
      </c>
      <c r="J10" s="16" t="s">
        <v>56</v>
      </c>
      <c r="K10" s="16" t="s">
        <v>79</v>
      </c>
      <c r="L10" s="16" t="s">
        <v>58</v>
      </c>
      <c r="M10" s="15">
        <v>45299</v>
      </c>
      <c r="N10" s="17">
        <v>2699.97</v>
      </c>
    </row>
    <row r="11" spans="1:14" x14ac:dyDescent="0.3">
      <c r="A11" s="16" t="s">
        <v>184</v>
      </c>
      <c r="B11" s="15">
        <v>45408</v>
      </c>
      <c r="C11" s="16" t="s">
        <v>80</v>
      </c>
      <c r="D11" s="16" t="s">
        <v>81</v>
      </c>
      <c r="E11" s="16" t="s">
        <v>53</v>
      </c>
      <c r="F11" s="16" t="s">
        <v>54</v>
      </c>
      <c r="G11" s="16" t="s">
        <v>55</v>
      </c>
      <c r="H11" s="17">
        <v>3</v>
      </c>
      <c r="I11" s="17">
        <v>59.99</v>
      </c>
      <c r="J11" s="16" t="s">
        <v>44</v>
      </c>
      <c r="K11" s="16" t="s">
        <v>69</v>
      </c>
      <c r="L11" s="16" t="s">
        <v>50</v>
      </c>
      <c r="M11" s="15">
        <v>45207</v>
      </c>
      <c r="N11" s="17">
        <v>179.97</v>
      </c>
    </row>
    <row r="12" spans="1:14" x14ac:dyDescent="0.3">
      <c r="A12" s="16" t="s">
        <v>185</v>
      </c>
      <c r="B12" s="15">
        <v>45408</v>
      </c>
      <c r="C12" s="16" t="s">
        <v>82</v>
      </c>
      <c r="D12" s="16" t="s">
        <v>83</v>
      </c>
      <c r="E12" s="16" t="s">
        <v>64</v>
      </c>
      <c r="F12" s="16" t="s">
        <v>65</v>
      </c>
      <c r="G12" s="16" t="s">
        <v>66</v>
      </c>
      <c r="H12" s="17">
        <v>1</v>
      </c>
      <c r="I12" s="17">
        <v>149.99</v>
      </c>
      <c r="J12" s="16" t="s">
        <v>49</v>
      </c>
      <c r="K12" s="16" t="s">
        <v>69</v>
      </c>
      <c r="L12" s="16" t="s">
        <v>58</v>
      </c>
      <c r="M12" s="15">
        <v>45103</v>
      </c>
      <c r="N12" s="17">
        <v>149.99</v>
      </c>
    </row>
    <row r="13" spans="1:14" x14ac:dyDescent="0.3">
      <c r="A13" s="16" t="s">
        <v>186</v>
      </c>
      <c r="B13" s="15">
        <v>45408</v>
      </c>
      <c r="C13" s="16" t="s">
        <v>59</v>
      </c>
      <c r="D13" s="16" t="s">
        <v>60</v>
      </c>
      <c r="E13" s="16" t="s">
        <v>64</v>
      </c>
      <c r="F13" s="16" t="s">
        <v>65</v>
      </c>
      <c r="G13" s="16" t="s">
        <v>66</v>
      </c>
      <c r="H13" s="17">
        <v>5</v>
      </c>
      <c r="I13" s="17">
        <v>149.99</v>
      </c>
      <c r="J13" s="16" t="s">
        <v>74</v>
      </c>
      <c r="K13" s="16" t="s">
        <v>61</v>
      </c>
      <c r="L13" s="16" t="s">
        <v>46</v>
      </c>
      <c r="M13" s="15">
        <v>44830</v>
      </c>
      <c r="N13" s="17">
        <v>749.95</v>
      </c>
    </row>
    <row r="14" spans="1:14" x14ac:dyDescent="0.3">
      <c r="A14" s="16" t="s">
        <v>187</v>
      </c>
      <c r="B14" s="15">
        <v>45408</v>
      </c>
      <c r="C14" s="16" t="s">
        <v>84</v>
      </c>
      <c r="D14" s="16" t="s">
        <v>85</v>
      </c>
      <c r="E14" s="16" t="s">
        <v>64</v>
      </c>
      <c r="F14" s="16" t="s">
        <v>65</v>
      </c>
      <c r="G14" s="16" t="s">
        <v>66</v>
      </c>
      <c r="H14" s="17">
        <v>3</v>
      </c>
      <c r="I14" s="17">
        <v>149.99</v>
      </c>
      <c r="J14" s="16" t="s">
        <v>44</v>
      </c>
      <c r="K14" s="16" t="s">
        <v>61</v>
      </c>
      <c r="L14" s="16" t="s">
        <v>50</v>
      </c>
      <c r="M14" s="15">
        <v>44806</v>
      </c>
      <c r="N14" s="17">
        <v>449.97</v>
      </c>
    </row>
    <row r="15" spans="1:14" x14ac:dyDescent="0.3">
      <c r="A15" s="16" t="s">
        <v>188</v>
      </c>
      <c r="B15" s="15">
        <v>45409</v>
      </c>
      <c r="C15" s="16" t="s">
        <v>86</v>
      </c>
      <c r="D15" s="16" t="s">
        <v>87</v>
      </c>
      <c r="E15" s="16" t="s">
        <v>53</v>
      </c>
      <c r="F15" s="16" t="s">
        <v>54</v>
      </c>
      <c r="G15" s="16" t="s">
        <v>55</v>
      </c>
      <c r="H15" s="17">
        <v>3</v>
      </c>
      <c r="I15" s="17">
        <v>59.99</v>
      </c>
      <c r="J15" s="16" t="s">
        <v>49</v>
      </c>
      <c r="K15" s="16" t="s">
        <v>61</v>
      </c>
      <c r="L15" s="16" t="s">
        <v>58</v>
      </c>
      <c r="M15" s="15">
        <v>45351</v>
      </c>
      <c r="N15" s="17">
        <v>179.97</v>
      </c>
    </row>
    <row r="16" spans="1:14" x14ac:dyDescent="0.3">
      <c r="A16" s="16" t="s">
        <v>189</v>
      </c>
      <c r="B16" s="15">
        <v>45409</v>
      </c>
      <c r="C16" s="16" t="s">
        <v>88</v>
      </c>
      <c r="D16" s="16" t="s">
        <v>89</v>
      </c>
      <c r="E16" s="16" t="s">
        <v>90</v>
      </c>
      <c r="F16" s="16" t="s">
        <v>91</v>
      </c>
      <c r="G16" s="16" t="s">
        <v>43</v>
      </c>
      <c r="H16" s="17">
        <v>3</v>
      </c>
      <c r="I16" s="17">
        <v>699.99</v>
      </c>
      <c r="J16" s="16" t="s">
        <v>49</v>
      </c>
      <c r="K16" s="16" t="s">
        <v>69</v>
      </c>
      <c r="L16" s="16" t="s">
        <v>46</v>
      </c>
      <c r="M16" s="15">
        <v>44577</v>
      </c>
      <c r="N16" s="17">
        <v>2099.9699999999998</v>
      </c>
    </row>
    <row r="17" spans="1:14" x14ac:dyDescent="0.3">
      <c r="A17" s="16" t="s">
        <v>190</v>
      </c>
      <c r="B17" s="15">
        <v>45409</v>
      </c>
      <c r="C17" s="16" t="s">
        <v>92</v>
      </c>
      <c r="D17" s="16" t="s">
        <v>93</v>
      </c>
      <c r="E17" s="16" t="s">
        <v>77</v>
      </c>
      <c r="F17" s="16" t="s">
        <v>78</v>
      </c>
      <c r="G17" s="16" t="s">
        <v>43</v>
      </c>
      <c r="H17" s="17">
        <v>1</v>
      </c>
      <c r="I17" s="17">
        <v>899.99</v>
      </c>
      <c r="J17" s="16" t="s">
        <v>74</v>
      </c>
      <c r="K17" s="16" t="s">
        <v>61</v>
      </c>
      <c r="L17" s="16" t="s">
        <v>58</v>
      </c>
      <c r="M17" s="15">
        <v>44920</v>
      </c>
      <c r="N17" s="17">
        <v>899.99</v>
      </c>
    </row>
    <row r="18" spans="1:14" x14ac:dyDescent="0.3">
      <c r="A18" s="16" t="s">
        <v>191</v>
      </c>
      <c r="B18" s="15">
        <v>45410</v>
      </c>
      <c r="C18" s="16" t="s">
        <v>94</v>
      </c>
      <c r="D18" s="16" t="s">
        <v>95</v>
      </c>
      <c r="E18" s="16" t="s">
        <v>64</v>
      </c>
      <c r="F18" s="16" t="s">
        <v>65</v>
      </c>
      <c r="G18" s="16" t="s">
        <v>66</v>
      </c>
      <c r="H18" s="17">
        <v>4</v>
      </c>
      <c r="I18" s="17">
        <v>149.99</v>
      </c>
      <c r="J18" s="16" t="s">
        <v>74</v>
      </c>
      <c r="K18" s="16" t="s">
        <v>61</v>
      </c>
      <c r="L18" s="16" t="s">
        <v>50</v>
      </c>
      <c r="M18" s="15">
        <v>45374</v>
      </c>
      <c r="N18" s="17">
        <v>599.96</v>
      </c>
    </row>
    <row r="19" spans="1:14" x14ac:dyDescent="0.3">
      <c r="A19" s="16" t="s">
        <v>192</v>
      </c>
      <c r="B19" s="15">
        <v>45410</v>
      </c>
      <c r="C19" s="16" t="s">
        <v>96</v>
      </c>
      <c r="D19" s="16" t="s">
        <v>97</v>
      </c>
      <c r="E19" s="16" t="s">
        <v>90</v>
      </c>
      <c r="F19" s="16" t="s">
        <v>91</v>
      </c>
      <c r="G19" s="16" t="s">
        <v>43</v>
      </c>
      <c r="H19" s="17">
        <v>2</v>
      </c>
      <c r="I19" s="17">
        <v>699.99</v>
      </c>
      <c r="J19" s="16" t="s">
        <v>44</v>
      </c>
      <c r="K19" s="16" t="s">
        <v>61</v>
      </c>
      <c r="L19" s="16" t="s">
        <v>46</v>
      </c>
      <c r="M19" s="15">
        <v>44781</v>
      </c>
      <c r="N19" s="17">
        <v>1399.98</v>
      </c>
    </row>
    <row r="20" spans="1:14" x14ac:dyDescent="0.3">
      <c r="A20" s="16" t="s">
        <v>193</v>
      </c>
      <c r="B20" s="15">
        <v>45410</v>
      </c>
      <c r="C20" s="16" t="s">
        <v>94</v>
      </c>
      <c r="D20" s="16" t="s">
        <v>95</v>
      </c>
      <c r="E20" s="16" t="s">
        <v>77</v>
      </c>
      <c r="F20" s="16" t="s">
        <v>78</v>
      </c>
      <c r="G20" s="16" t="s">
        <v>43</v>
      </c>
      <c r="H20" s="17">
        <v>4</v>
      </c>
      <c r="I20" s="17">
        <v>899.99</v>
      </c>
      <c r="J20" s="16" t="s">
        <v>49</v>
      </c>
      <c r="K20" s="16" t="s">
        <v>69</v>
      </c>
      <c r="L20" s="16" t="s">
        <v>58</v>
      </c>
      <c r="M20" s="15">
        <v>45327</v>
      </c>
      <c r="N20" s="17">
        <v>3599.96</v>
      </c>
    </row>
    <row r="21" spans="1:14" x14ac:dyDescent="0.3">
      <c r="A21" s="16" t="s">
        <v>194</v>
      </c>
      <c r="B21" s="15">
        <v>45410</v>
      </c>
      <c r="C21" s="16" t="s">
        <v>98</v>
      </c>
      <c r="D21" s="16" t="s">
        <v>99</v>
      </c>
      <c r="E21" s="16" t="s">
        <v>41</v>
      </c>
      <c r="F21" s="16" t="s">
        <v>42</v>
      </c>
      <c r="G21" s="16" t="s">
        <v>43</v>
      </c>
      <c r="H21" s="17">
        <v>3</v>
      </c>
      <c r="I21" s="17">
        <v>249.99</v>
      </c>
      <c r="J21" s="16" t="s">
        <v>49</v>
      </c>
      <c r="K21" s="16" t="s">
        <v>61</v>
      </c>
      <c r="L21" s="16" t="s">
        <v>50</v>
      </c>
      <c r="M21" s="15">
        <v>45224</v>
      </c>
      <c r="N21" s="17">
        <v>749.97</v>
      </c>
    </row>
    <row r="22" spans="1:14" x14ac:dyDescent="0.3">
      <c r="A22" s="16" t="s">
        <v>195</v>
      </c>
      <c r="B22" s="15">
        <v>45412</v>
      </c>
      <c r="C22" s="16" t="s">
        <v>100</v>
      </c>
      <c r="D22" s="16" t="s">
        <v>101</v>
      </c>
      <c r="E22" s="16" t="s">
        <v>90</v>
      </c>
      <c r="F22" s="16" t="s">
        <v>91</v>
      </c>
      <c r="G22" s="16" t="s">
        <v>43</v>
      </c>
      <c r="H22" s="17">
        <v>5</v>
      </c>
      <c r="I22" s="17">
        <v>699.99</v>
      </c>
      <c r="J22" s="16" t="s">
        <v>44</v>
      </c>
      <c r="K22" s="16" t="s">
        <v>69</v>
      </c>
      <c r="L22" s="16" t="s">
        <v>46</v>
      </c>
      <c r="M22" s="15">
        <v>45167</v>
      </c>
      <c r="N22" s="17">
        <v>3499.95</v>
      </c>
    </row>
    <row r="23" spans="1:14" x14ac:dyDescent="0.3">
      <c r="A23" s="16" t="s">
        <v>196</v>
      </c>
      <c r="B23" s="15">
        <v>45413</v>
      </c>
      <c r="C23" s="16" t="s">
        <v>102</v>
      </c>
      <c r="D23" s="16" t="s">
        <v>103</v>
      </c>
      <c r="E23" s="16" t="s">
        <v>90</v>
      </c>
      <c r="F23" s="16" t="s">
        <v>91</v>
      </c>
      <c r="G23" s="16" t="s">
        <v>43</v>
      </c>
      <c r="H23" s="17">
        <v>4</v>
      </c>
      <c r="I23" s="17">
        <v>699.99</v>
      </c>
      <c r="J23" s="16" t="s">
        <v>44</v>
      </c>
      <c r="K23" s="16" t="s">
        <v>79</v>
      </c>
      <c r="L23" s="16" t="s">
        <v>58</v>
      </c>
      <c r="M23" s="15">
        <v>44409</v>
      </c>
      <c r="N23" s="17">
        <v>2799.96</v>
      </c>
    </row>
    <row r="24" spans="1:14" x14ac:dyDescent="0.3">
      <c r="A24" s="16" t="s">
        <v>197</v>
      </c>
      <c r="B24" s="15">
        <v>45415</v>
      </c>
      <c r="C24" s="16" t="s">
        <v>104</v>
      </c>
      <c r="D24" s="16" t="s">
        <v>105</v>
      </c>
      <c r="E24" s="16" t="s">
        <v>41</v>
      </c>
      <c r="F24" s="16" t="s">
        <v>42</v>
      </c>
      <c r="G24" s="16" t="s">
        <v>43</v>
      </c>
      <c r="H24" s="17">
        <v>4</v>
      </c>
      <c r="I24" s="17">
        <v>249.99</v>
      </c>
      <c r="J24" s="16" t="s">
        <v>56</v>
      </c>
      <c r="K24" s="16" t="s">
        <v>61</v>
      </c>
      <c r="L24" s="16" t="s">
        <v>58</v>
      </c>
      <c r="M24" s="15">
        <v>44468</v>
      </c>
      <c r="N24" s="17">
        <v>999.96</v>
      </c>
    </row>
    <row r="25" spans="1:14" x14ac:dyDescent="0.3">
      <c r="A25" s="16" t="s">
        <v>198</v>
      </c>
      <c r="B25" s="15">
        <v>45416</v>
      </c>
      <c r="C25" s="16" t="s">
        <v>94</v>
      </c>
      <c r="D25" s="16" t="s">
        <v>95</v>
      </c>
      <c r="E25" s="16" t="s">
        <v>106</v>
      </c>
      <c r="F25" s="16" t="s">
        <v>107</v>
      </c>
      <c r="G25" s="16" t="s">
        <v>66</v>
      </c>
      <c r="H25" s="17">
        <v>4</v>
      </c>
      <c r="I25" s="17">
        <v>299.99</v>
      </c>
      <c r="J25" s="16" t="s">
        <v>44</v>
      </c>
      <c r="K25" s="16" t="s">
        <v>69</v>
      </c>
      <c r="L25" s="16" t="s">
        <v>50</v>
      </c>
      <c r="M25" s="15">
        <v>44716</v>
      </c>
      <c r="N25" s="17">
        <v>1199.96</v>
      </c>
    </row>
    <row r="26" spans="1:14" x14ac:dyDescent="0.3">
      <c r="A26" s="16" t="s">
        <v>199</v>
      </c>
      <c r="B26" s="15">
        <v>45422</v>
      </c>
      <c r="C26" s="16" t="s">
        <v>108</v>
      </c>
      <c r="D26" s="16" t="s">
        <v>109</v>
      </c>
      <c r="E26" s="16" t="s">
        <v>41</v>
      </c>
      <c r="F26" s="16" t="s">
        <v>42</v>
      </c>
      <c r="G26" s="16" t="s">
        <v>43</v>
      </c>
      <c r="H26" s="17">
        <v>5</v>
      </c>
      <c r="I26" s="17">
        <v>249.99</v>
      </c>
      <c r="J26" s="16" t="s">
        <v>49</v>
      </c>
      <c r="K26" s="16" t="s">
        <v>69</v>
      </c>
      <c r="L26" s="16" t="s">
        <v>58</v>
      </c>
      <c r="M26" s="15">
        <v>44525</v>
      </c>
      <c r="N26" s="17">
        <v>1249.95</v>
      </c>
    </row>
    <row r="27" spans="1:14" x14ac:dyDescent="0.3">
      <c r="A27" s="16" t="s">
        <v>200</v>
      </c>
      <c r="B27" s="15">
        <v>45424</v>
      </c>
      <c r="C27" s="16" t="s">
        <v>82</v>
      </c>
      <c r="D27" s="16" t="s">
        <v>83</v>
      </c>
      <c r="E27" s="16" t="s">
        <v>106</v>
      </c>
      <c r="F27" s="16" t="s">
        <v>107</v>
      </c>
      <c r="G27" s="16" t="s">
        <v>66</v>
      </c>
      <c r="H27" s="17">
        <v>5</v>
      </c>
      <c r="I27" s="17">
        <v>299.99</v>
      </c>
      <c r="J27" s="16" t="s">
        <v>56</v>
      </c>
      <c r="K27" s="16" t="s">
        <v>79</v>
      </c>
      <c r="L27" s="16" t="s">
        <v>46</v>
      </c>
      <c r="M27" s="15">
        <v>45168</v>
      </c>
      <c r="N27" s="17">
        <v>1499.95</v>
      </c>
    </row>
    <row r="28" spans="1:14" x14ac:dyDescent="0.3">
      <c r="A28" s="16" t="s">
        <v>201</v>
      </c>
      <c r="B28" s="15">
        <v>45424</v>
      </c>
      <c r="C28" s="16" t="s">
        <v>110</v>
      </c>
      <c r="D28" s="16" t="s">
        <v>111</v>
      </c>
      <c r="E28" s="16" t="s">
        <v>112</v>
      </c>
      <c r="F28" s="16" t="s">
        <v>113</v>
      </c>
      <c r="G28" s="16" t="s">
        <v>55</v>
      </c>
      <c r="H28" s="17">
        <v>3</v>
      </c>
      <c r="I28" s="17">
        <v>79.989999999999995</v>
      </c>
      <c r="J28" s="16" t="s">
        <v>56</v>
      </c>
      <c r="K28" s="16" t="s">
        <v>79</v>
      </c>
      <c r="L28" s="16" t="s">
        <v>50</v>
      </c>
      <c r="M28" s="15">
        <v>45012</v>
      </c>
      <c r="N28" s="17">
        <v>239.97</v>
      </c>
    </row>
    <row r="29" spans="1:14" x14ac:dyDescent="0.3">
      <c r="A29" s="16" t="s">
        <v>202</v>
      </c>
      <c r="B29" s="15">
        <v>45424</v>
      </c>
      <c r="C29" s="16" t="s">
        <v>102</v>
      </c>
      <c r="D29" s="16" t="s">
        <v>103</v>
      </c>
      <c r="E29" s="16" t="s">
        <v>114</v>
      </c>
      <c r="F29" s="16" t="s">
        <v>115</v>
      </c>
      <c r="G29" s="16" t="s">
        <v>43</v>
      </c>
      <c r="H29" s="17">
        <v>5</v>
      </c>
      <c r="I29" s="17">
        <v>89.99</v>
      </c>
      <c r="J29" s="16" t="s">
        <v>44</v>
      </c>
      <c r="K29" s="16" t="s">
        <v>61</v>
      </c>
      <c r="L29" s="16" t="s">
        <v>50</v>
      </c>
      <c r="M29" s="15">
        <v>44919</v>
      </c>
      <c r="N29" s="17">
        <v>449.95</v>
      </c>
    </row>
    <row r="30" spans="1:14" x14ac:dyDescent="0.3">
      <c r="A30" s="16" t="s">
        <v>203</v>
      </c>
      <c r="B30" s="15">
        <v>45425</v>
      </c>
      <c r="C30" s="16" t="s">
        <v>116</v>
      </c>
      <c r="D30" s="16" t="s">
        <v>117</v>
      </c>
      <c r="E30" s="16" t="s">
        <v>53</v>
      </c>
      <c r="F30" s="16" t="s">
        <v>54</v>
      </c>
      <c r="G30" s="16" t="s">
        <v>55</v>
      </c>
      <c r="H30" s="17">
        <v>2</v>
      </c>
      <c r="I30" s="17">
        <v>59.99</v>
      </c>
      <c r="J30" s="16" t="s">
        <v>74</v>
      </c>
      <c r="K30" s="16" t="s">
        <v>45</v>
      </c>
      <c r="L30" s="16" t="s">
        <v>58</v>
      </c>
      <c r="M30" s="15">
        <v>45214</v>
      </c>
      <c r="N30" s="17">
        <v>119.98</v>
      </c>
    </row>
    <row r="31" spans="1:14" x14ac:dyDescent="0.3">
      <c r="A31" s="16" t="s">
        <v>204</v>
      </c>
      <c r="B31" s="15">
        <v>45427</v>
      </c>
      <c r="C31" s="16" t="s">
        <v>118</v>
      </c>
      <c r="D31" s="16" t="s">
        <v>119</v>
      </c>
      <c r="E31" s="16" t="s">
        <v>53</v>
      </c>
      <c r="F31" s="16" t="s">
        <v>54</v>
      </c>
      <c r="G31" s="16" t="s">
        <v>55</v>
      </c>
      <c r="H31" s="17">
        <v>4</v>
      </c>
      <c r="I31" s="17">
        <v>59.99</v>
      </c>
      <c r="J31" s="16" t="s">
        <v>74</v>
      </c>
      <c r="K31" s="16" t="s">
        <v>79</v>
      </c>
      <c r="L31" s="16" t="s">
        <v>58</v>
      </c>
      <c r="M31" s="15">
        <v>44867</v>
      </c>
      <c r="N31" s="17">
        <v>239.96</v>
      </c>
    </row>
    <row r="32" spans="1:14" x14ac:dyDescent="0.3">
      <c r="A32" s="16" t="s">
        <v>205</v>
      </c>
      <c r="B32" s="15">
        <v>45427</v>
      </c>
      <c r="C32" s="16" t="s">
        <v>72</v>
      </c>
      <c r="D32" s="16" t="s">
        <v>73</v>
      </c>
      <c r="E32" s="16" t="s">
        <v>120</v>
      </c>
      <c r="F32" s="16" t="s">
        <v>121</v>
      </c>
      <c r="G32" s="16" t="s">
        <v>66</v>
      </c>
      <c r="H32" s="17">
        <v>5</v>
      </c>
      <c r="I32" s="17">
        <v>199.99</v>
      </c>
      <c r="J32" s="16" t="s">
        <v>44</v>
      </c>
      <c r="K32" s="16" t="s">
        <v>57</v>
      </c>
      <c r="L32" s="16" t="s">
        <v>58</v>
      </c>
      <c r="M32" s="15">
        <v>44412</v>
      </c>
      <c r="N32" s="17">
        <v>999.95</v>
      </c>
    </row>
    <row r="33" spans="1:14" x14ac:dyDescent="0.3">
      <c r="A33" s="16" t="s">
        <v>206</v>
      </c>
      <c r="B33" s="15">
        <v>45428</v>
      </c>
      <c r="C33" s="16" t="s">
        <v>122</v>
      </c>
      <c r="D33" s="16" t="s">
        <v>123</v>
      </c>
      <c r="E33" s="16" t="s">
        <v>64</v>
      </c>
      <c r="F33" s="16" t="s">
        <v>65</v>
      </c>
      <c r="G33" s="16" t="s">
        <v>66</v>
      </c>
      <c r="H33" s="17">
        <v>2</v>
      </c>
      <c r="I33" s="17">
        <v>149.99</v>
      </c>
      <c r="J33" s="16" t="s">
        <v>49</v>
      </c>
      <c r="K33" s="16" t="s">
        <v>69</v>
      </c>
      <c r="L33" s="16" t="s">
        <v>46</v>
      </c>
      <c r="M33" s="15">
        <v>44823</v>
      </c>
      <c r="N33" s="17">
        <v>299.98</v>
      </c>
    </row>
    <row r="34" spans="1:14" x14ac:dyDescent="0.3">
      <c r="A34" s="16" t="s">
        <v>207</v>
      </c>
      <c r="B34" s="15">
        <v>45430</v>
      </c>
      <c r="C34" s="16" t="s">
        <v>124</v>
      </c>
      <c r="D34" s="16" t="s">
        <v>125</v>
      </c>
      <c r="E34" s="16" t="s">
        <v>64</v>
      </c>
      <c r="F34" s="16" t="s">
        <v>65</v>
      </c>
      <c r="G34" s="16" t="s">
        <v>66</v>
      </c>
      <c r="H34" s="17">
        <v>3</v>
      </c>
      <c r="I34" s="17">
        <v>149.99</v>
      </c>
      <c r="J34" s="16" t="s">
        <v>49</v>
      </c>
      <c r="K34" s="16" t="s">
        <v>69</v>
      </c>
      <c r="L34" s="16" t="s">
        <v>50</v>
      </c>
      <c r="M34" s="15">
        <v>45068</v>
      </c>
      <c r="N34" s="17">
        <v>449.97</v>
      </c>
    </row>
    <row r="35" spans="1:14" x14ac:dyDescent="0.3">
      <c r="A35" s="16" t="s">
        <v>208</v>
      </c>
      <c r="B35" s="15">
        <v>45432</v>
      </c>
      <c r="C35" s="16" t="s">
        <v>51</v>
      </c>
      <c r="D35" s="16" t="s">
        <v>52</v>
      </c>
      <c r="E35" s="16" t="s">
        <v>77</v>
      </c>
      <c r="F35" s="16" t="s">
        <v>78</v>
      </c>
      <c r="G35" s="16" t="s">
        <v>43</v>
      </c>
      <c r="H35" s="17">
        <v>1</v>
      </c>
      <c r="I35" s="17">
        <v>899.99</v>
      </c>
      <c r="J35" s="16" t="s">
        <v>49</v>
      </c>
      <c r="K35" s="16" t="s">
        <v>69</v>
      </c>
      <c r="L35" s="16" t="s">
        <v>50</v>
      </c>
      <c r="M35" s="15">
        <v>44578</v>
      </c>
      <c r="N35" s="17">
        <v>899.99</v>
      </c>
    </row>
    <row r="36" spans="1:14" x14ac:dyDescent="0.3">
      <c r="A36" s="16" t="s">
        <v>209</v>
      </c>
      <c r="B36" s="15">
        <v>45434</v>
      </c>
      <c r="C36" s="16" t="s">
        <v>102</v>
      </c>
      <c r="D36" s="16" t="s">
        <v>103</v>
      </c>
      <c r="E36" s="16" t="s">
        <v>106</v>
      </c>
      <c r="F36" s="16" t="s">
        <v>107</v>
      </c>
      <c r="G36" s="16" t="s">
        <v>66</v>
      </c>
      <c r="H36" s="17">
        <v>3</v>
      </c>
      <c r="I36" s="17">
        <v>299.99</v>
      </c>
      <c r="J36" s="16" t="s">
        <v>49</v>
      </c>
      <c r="K36" s="16" t="s">
        <v>79</v>
      </c>
      <c r="L36" s="16" t="s">
        <v>46</v>
      </c>
      <c r="M36" s="15">
        <v>44824</v>
      </c>
      <c r="N36" s="17">
        <v>899.97</v>
      </c>
    </row>
    <row r="37" spans="1:14" x14ac:dyDescent="0.3">
      <c r="A37" s="16" t="s">
        <v>210</v>
      </c>
      <c r="B37" s="15">
        <v>45435</v>
      </c>
      <c r="C37" s="16" t="s">
        <v>122</v>
      </c>
      <c r="D37" s="16" t="s">
        <v>123</v>
      </c>
      <c r="E37" s="16" t="s">
        <v>112</v>
      </c>
      <c r="F37" s="16" t="s">
        <v>113</v>
      </c>
      <c r="G37" s="16" t="s">
        <v>55</v>
      </c>
      <c r="H37" s="17">
        <v>3</v>
      </c>
      <c r="I37" s="17">
        <v>79.989999999999995</v>
      </c>
      <c r="J37" s="16" t="s">
        <v>44</v>
      </c>
      <c r="K37" s="16" t="s">
        <v>57</v>
      </c>
      <c r="L37" s="16" t="s">
        <v>46</v>
      </c>
      <c r="M37" s="15">
        <v>45046</v>
      </c>
      <c r="N37" s="17">
        <v>239.97</v>
      </c>
    </row>
    <row r="38" spans="1:14" x14ac:dyDescent="0.3">
      <c r="A38" s="16" t="s">
        <v>211</v>
      </c>
      <c r="B38" s="15">
        <v>45438</v>
      </c>
      <c r="C38" s="16" t="s">
        <v>126</v>
      </c>
      <c r="D38" s="16" t="s">
        <v>127</v>
      </c>
      <c r="E38" s="16" t="s">
        <v>120</v>
      </c>
      <c r="F38" s="16" t="s">
        <v>121</v>
      </c>
      <c r="G38" s="16" t="s">
        <v>66</v>
      </c>
      <c r="H38" s="17">
        <v>3</v>
      </c>
      <c r="I38" s="17">
        <v>199.99</v>
      </c>
      <c r="J38" s="16" t="s">
        <v>49</v>
      </c>
      <c r="K38" s="16" t="s">
        <v>61</v>
      </c>
      <c r="L38" s="16" t="s">
        <v>50</v>
      </c>
      <c r="M38" s="15">
        <v>45292</v>
      </c>
      <c r="N38" s="17">
        <v>599.97</v>
      </c>
    </row>
    <row r="39" spans="1:14" x14ac:dyDescent="0.3">
      <c r="A39" s="16" t="s">
        <v>212</v>
      </c>
      <c r="B39" s="15">
        <v>45440</v>
      </c>
      <c r="C39" s="16" t="s">
        <v>128</v>
      </c>
      <c r="D39" s="16" t="s">
        <v>129</v>
      </c>
      <c r="E39" s="16" t="s">
        <v>90</v>
      </c>
      <c r="F39" s="16" t="s">
        <v>91</v>
      </c>
      <c r="G39" s="16" t="s">
        <v>43</v>
      </c>
      <c r="H39" s="17">
        <v>5</v>
      </c>
      <c r="I39" s="17">
        <v>699.99</v>
      </c>
      <c r="J39" s="16" t="s">
        <v>56</v>
      </c>
      <c r="K39" s="16" t="s">
        <v>69</v>
      </c>
      <c r="L39" s="16" t="s">
        <v>58</v>
      </c>
      <c r="M39" s="15">
        <v>44407</v>
      </c>
      <c r="N39" s="17">
        <v>3499.95</v>
      </c>
    </row>
    <row r="40" spans="1:14" x14ac:dyDescent="0.3">
      <c r="A40" s="16" t="s">
        <v>213</v>
      </c>
      <c r="B40" s="15">
        <v>45441</v>
      </c>
      <c r="C40" s="16" t="s">
        <v>130</v>
      </c>
      <c r="D40" s="16" t="s">
        <v>131</v>
      </c>
      <c r="E40" s="16" t="s">
        <v>114</v>
      </c>
      <c r="F40" s="16" t="s">
        <v>115</v>
      </c>
      <c r="G40" s="16" t="s">
        <v>43</v>
      </c>
      <c r="H40" s="17">
        <v>3</v>
      </c>
      <c r="I40" s="17">
        <v>89.99</v>
      </c>
      <c r="J40" s="16" t="s">
        <v>56</v>
      </c>
      <c r="K40" s="16" t="s">
        <v>45</v>
      </c>
      <c r="L40" s="16" t="s">
        <v>50</v>
      </c>
      <c r="M40" s="15">
        <v>45120</v>
      </c>
      <c r="N40" s="17">
        <v>269.97000000000003</v>
      </c>
    </row>
    <row r="41" spans="1:14" x14ac:dyDescent="0.3">
      <c r="A41" s="16" t="s">
        <v>214</v>
      </c>
      <c r="B41" s="15">
        <v>45443</v>
      </c>
      <c r="C41" s="16" t="s">
        <v>132</v>
      </c>
      <c r="D41" s="16" t="s">
        <v>133</v>
      </c>
      <c r="E41" s="16" t="s">
        <v>112</v>
      </c>
      <c r="F41" s="16" t="s">
        <v>113</v>
      </c>
      <c r="G41" s="16" t="s">
        <v>55</v>
      </c>
      <c r="H41" s="17">
        <v>1</v>
      </c>
      <c r="I41" s="17">
        <v>79.989999999999995</v>
      </c>
      <c r="J41" s="16" t="s">
        <v>44</v>
      </c>
      <c r="K41" s="16" t="s">
        <v>61</v>
      </c>
      <c r="L41" s="16" t="s">
        <v>58</v>
      </c>
      <c r="M41" s="15">
        <v>44917</v>
      </c>
      <c r="N41" s="17">
        <v>79.989999999999995</v>
      </c>
    </row>
    <row r="42" spans="1:14" x14ac:dyDescent="0.3">
      <c r="A42" s="16" t="s">
        <v>215</v>
      </c>
      <c r="B42" s="15">
        <v>45444</v>
      </c>
      <c r="C42" s="16" t="s">
        <v>134</v>
      </c>
      <c r="D42" s="16" t="s">
        <v>135</v>
      </c>
      <c r="E42" s="16" t="s">
        <v>53</v>
      </c>
      <c r="F42" s="16" t="s">
        <v>54</v>
      </c>
      <c r="G42" s="16" t="s">
        <v>55</v>
      </c>
      <c r="H42" s="17">
        <v>2</v>
      </c>
      <c r="I42" s="17">
        <v>59.99</v>
      </c>
      <c r="J42" s="16" t="s">
        <v>44</v>
      </c>
      <c r="K42" s="16" t="s">
        <v>69</v>
      </c>
      <c r="L42" s="16" t="s">
        <v>46</v>
      </c>
      <c r="M42" s="15">
        <v>45390</v>
      </c>
      <c r="N42" s="17">
        <v>119.98</v>
      </c>
    </row>
    <row r="43" spans="1:14" x14ac:dyDescent="0.3">
      <c r="A43" s="16" t="s">
        <v>216</v>
      </c>
      <c r="B43" s="15">
        <v>45444</v>
      </c>
      <c r="C43" s="16" t="s">
        <v>72</v>
      </c>
      <c r="D43" s="16" t="s">
        <v>73</v>
      </c>
      <c r="E43" s="16" t="s">
        <v>114</v>
      </c>
      <c r="F43" s="16" t="s">
        <v>115</v>
      </c>
      <c r="G43" s="16" t="s">
        <v>43</v>
      </c>
      <c r="H43" s="17">
        <v>1</v>
      </c>
      <c r="I43" s="17">
        <v>89.99</v>
      </c>
      <c r="J43" s="16" t="s">
        <v>44</v>
      </c>
      <c r="K43" s="16" t="s">
        <v>61</v>
      </c>
      <c r="L43" s="16" t="s">
        <v>46</v>
      </c>
      <c r="M43" s="15">
        <v>45141</v>
      </c>
      <c r="N43" s="17">
        <v>89.99</v>
      </c>
    </row>
    <row r="44" spans="1:14" x14ac:dyDescent="0.3">
      <c r="A44" s="16" t="s">
        <v>217</v>
      </c>
      <c r="B44" s="15">
        <v>45446</v>
      </c>
      <c r="C44" s="16" t="s">
        <v>136</v>
      </c>
      <c r="D44" s="16" t="s">
        <v>137</v>
      </c>
      <c r="E44" s="16" t="s">
        <v>114</v>
      </c>
      <c r="F44" s="16" t="s">
        <v>115</v>
      </c>
      <c r="G44" s="16" t="s">
        <v>43</v>
      </c>
      <c r="H44" s="17">
        <v>5</v>
      </c>
      <c r="I44" s="17">
        <v>89.99</v>
      </c>
      <c r="J44" s="16" t="s">
        <v>49</v>
      </c>
      <c r="K44" s="16" t="s">
        <v>79</v>
      </c>
      <c r="L44" s="16" t="s">
        <v>58</v>
      </c>
      <c r="M44" s="15">
        <v>44587</v>
      </c>
      <c r="N44" s="17">
        <v>449.95</v>
      </c>
    </row>
    <row r="45" spans="1:14" x14ac:dyDescent="0.3">
      <c r="A45" s="16" t="s">
        <v>218</v>
      </c>
      <c r="B45" s="15">
        <v>45449</v>
      </c>
      <c r="C45" s="16" t="s">
        <v>47</v>
      </c>
      <c r="D45" s="16" t="s">
        <v>48</v>
      </c>
      <c r="E45" s="16" t="s">
        <v>41</v>
      </c>
      <c r="F45" s="16" t="s">
        <v>42</v>
      </c>
      <c r="G45" s="16" t="s">
        <v>43</v>
      </c>
      <c r="H45" s="17">
        <v>5</v>
      </c>
      <c r="I45" s="17">
        <v>249.99</v>
      </c>
      <c r="J45" s="16" t="s">
        <v>49</v>
      </c>
      <c r="K45" s="16" t="s">
        <v>79</v>
      </c>
      <c r="L45" s="16" t="s">
        <v>58</v>
      </c>
      <c r="M45" s="15">
        <v>44707</v>
      </c>
      <c r="N45" s="17">
        <v>1249.95</v>
      </c>
    </row>
    <row r="46" spans="1:14" x14ac:dyDescent="0.3">
      <c r="A46" s="16" t="s">
        <v>219</v>
      </c>
      <c r="B46" s="15">
        <v>45449</v>
      </c>
      <c r="C46" s="16" t="s">
        <v>138</v>
      </c>
      <c r="D46" s="16" t="s">
        <v>139</v>
      </c>
      <c r="E46" s="16" t="s">
        <v>114</v>
      </c>
      <c r="F46" s="16" t="s">
        <v>115</v>
      </c>
      <c r="G46" s="16" t="s">
        <v>43</v>
      </c>
      <c r="H46" s="17">
        <v>1</v>
      </c>
      <c r="I46" s="17">
        <v>89.99</v>
      </c>
      <c r="J46" s="16" t="s">
        <v>49</v>
      </c>
      <c r="K46" s="16" t="s">
        <v>57</v>
      </c>
      <c r="L46" s="16" t="s">
        <v>58</v>
      </c>
      <c r="M46" s="15">
        <v>44582</v>
      </c>
      <c r="N46" s="17">
        <v>89.99</v>
      </c>
    </row>
    <row r="47" spans="1:14" x14ac:dyDescent="0.3">
      <c r="A47" s="16" t="s">
        <v>220</v>
      </c>
      <c r="B47" s="15">
        <v>45450</v>
      </c>
      <c r="C47" s="16" t="s">
        <v>62</v>
      </c>
      <c r="D47" s="16" t="s">
        <v>63</v>
      </c>
      <c r="E47" s="16" t="s">
        <v>64</v>
      </c>
      <c r="F47" s="16" t="s">
        <v>65</v>
      </c>
      <c r="G47" s="16" t="s">
        <v>66</v>
      </c>
      <c r="H47" s="17">
        <v>2</v>
      </c>
      <c r="I47" s="17">
        <v>149.99</v>
      </c>
      <c r="J47" s="16" t="s">
        <v>44</v>
      </c>
      <c r="K47" s="16" t="s">
        <v>79</v>
      </c>
      <c r="L47" s="16" t="s">
        <v>50</v>
      </c>
      <c r="M47" s="15">
        <v>44645</v>
      </c>
      <c r="N47" s="17">
        <v>299.98</v>
      </c>
    </row>
    <row r="48" spans="1:14" x14ac:dyDescent="0.3">
      <c r="A48" s="16" t="s">
        <v>221</v>
      </c>
      <c r="B48" s="15">
        <v>45452</v>
      </c>
      <c r="C48" s="16" t="s">
        <v>140</v>
      </c>
      <c r="D48" s="16" t="s">
        <v>141</v>
      </c>
      <c r="E48" s="16" t="s">
        <v>53</v>
      </c>
      <c r="F48" s="16" t="s">
        <v>54</v>
      </c>
      <c r="G48" s="16" t="s">
        <v>55</v>
      </c>
      <c r="H48" s="17">
        <v>4</v>
      </c>
      <c r="I48" s="17">
        <v>59.99</v>
      </c>
      <c r="J48" s="16" t="s">
        <v>44</v>
      </c>
      <c r="K48" s="16" t="s">
        <v>79</v>
      </c>
      <c r="L48" s="16" t="s">
        <v>58</v>
      </c>
      <c r="M48" s="15">
        <v>44435</v>
      </c>
      <c r="N48" s="17">
        <v>239.96</v>
      </c>
    </row>
    <row r="49" spans="1:14" x14ac:dyDescent="0.3">
      <c r="A49" s="16" t="s">
        <v>222</v>
      </c>
      <c r="B49" s="15">
        <v>45456</v>
      </c>
      <c r="C49" s="16" t="s">
        <v>122</v>
      </c>
      <c r="D49" s="16" t="s">
        <v>123</v>
      </c>
      <c r="E49" s="16" t="s">
        <v>114</v>
      </c>
      <c r="F49" s="16" t="s">
        <v>115</v>
      </c>
      <c r="G49" s="16" t="s">
        <v>43</v>
      </c>
      <c r="H49" s="17">
        <v>5</v>
      </c>
      <c r="I49" s="17">
        <v>89.99</v>
      </c>
      <c r="J49" s="16" t="s">
        <v>44</v>
      </c>
      <c r="K49" s="16" t="s">
        <v>45</v>
      </c>
      <c r="L49" s="16" t="s">
        <v>50</v>
      </c>
      <c r="M49" s="15">
        <v>44579</v>
      </c>
      <c r="N49" s="17">
        <v>449.95</v>
      </c>
    </row>
    <row r="50" spans="1:14" x14ac:dyDescent="0.3">
      <c r="A50" s="16" t="s">
        <v>223</v>
      </c>
      <c r="B50" s="15">
        <v>45459</v>
      </c>
      <c r="C50" s="16" t="s">
        <v>102</v>
      </c>
      <c r="D50" s="16" t="s">
        <v>103</v>
      </c>
      <c r="E50" s="16" t="s">
        <v>114</v>
      </c>
      <c r="F50" s="16" t="s">
        <v>115</v>
      </c>
      <c r="G50" s="16" t="s">
        <v>43</v>
      </c>
      <c r="H50" s="17">
        <v>2</v>
      </c>
      <c r="I50" s="17">
        <v>89.99</v>
      </c>
      <c r="J50" s="16" t="s">
        <v>49</v>
      </c>
      <c r="K50" s="16" t="s">
        <v>57</v>
      </c>
      <c r="L50" s="16" t="s">
        <v>50</v>
      </c>
      <c r="M50" s="15">
        <v>44471</v>
      </c>
      <c r="N50" s="17">
        <v>179.98</v>
      </c>
    </row>
    <row r="51" spans="1:14" x14ac:dyDescent="0.3">
      <c r="A51" s="16" t="s">
        <v>224</v>
      </c>
      <c r="B51" s="15">
        <v>45459</v>
      </c>
      <c r="C51" s="16" t="s">
        <v>39</v>
      </c>
      <c r="D51" s="16" t="s">
        <v>40</v>
      </c>
      <c r="E51" s="16" t="s">
        <v>77</v>
      </c>
      <c r="F51" s="16" t="s">
        <v>78</v>
      </c>
      <c r="G51" s="16" t="s">
        <v>43</v>
      </c>
      <c r="H51" s="17">
        <v>5</v>
      </c>
      <c r="I51" s="17">
        <v>899.99</v>
      </c>
      <c r="J51" s="16" t="s">
        <v>49</v>
      </c>
      <c r="K51" s="16" t="s">
        <v>57</v>
      </c>
      <c r="L51" s="16" t="s">
        <v>58</v>
      </c>
      <c r="M51" s="15">
        <v>44974</v>
      </c>
      <c r="N51" s="17">
        <v>4499.95</v>
      </c>
    </row>
    <row r="52" spans="1:14" x14ac:dyDescent="0.3">
      <c r="A52" s="16" t="s">
        <v>225</v>
      </c>
      <c r="B52" s="15">
        <v>45459</v>
      </c>
      <c r="C52" s="16" t="s">
        <v>118</v>
      </c>
      <c r="D52" s="16" t="s">
        <v>119</v>
      </c>
      <c r="E52" s="16" t="s">
        <v>77</v>
      </c>
      <c r="F52" s="16" t="s">
        <v>78</v>
      </c>
      <c r="G52" s="16" t="s">
        <v>43</v>
      </c>
      <c r="H52" s="17">
        <v>5</v>
      </c>
      <c r="I52" s="17">
        <v>899.99</v>
      </c>
      <c r="J52" s="16" t="s">
        <v>56</v>
      </c>
      <c r="K52" s="16" t="s">
        <v>79</v>
      </c>
      <c r="L52" s="16" t="s">
        <v>50</v>
      </c>
      <c r="M52" s="15">
        <v>45278</v>
      </c>
      <c r="N52" s="17">
        <v>4499.95</v>
      </c>
    </row>
    <row r="53" spans="1:14" x14ac:dyDescent="0.3">
      <c r="A53" s="16" t="s">
        <v>226</v>
      </c>
      <c r="B53" s="15">
        <v>45460</v>
      </c>
      <c r="C53" s="16" t="s">
        <v>138</v>
      </c>
      <c r="D53" s="16" t="s">
        <v>139</v>
      </c>
      <c r="E53" s="16" t="s">
        <v>53</v>
      </c>
      <c r="F53" s="16" t="s">
        <v>54</v>
      </c>
      <c r="G53" s="16" t="s">
        <v>55</v>
      </c>
      <c r="H53" s="17">
        <v>1</v>
      </c>
      <c r="I53" s="17">
        <v>59.99</v>
      </c>
      <c r="J53" s="16" t="s">
        <v>74</v>
      </c>
      <c r="K53" s="16" t="s">
        <v>69</v>
      </c>
      <c r="L53" s="16" t="s">
        <v>50</v>
      </c>
      <c r="M53" s="15">
        <v>45190</v>
      </c>
      <c r="N53" s="17">
        <v>59.99</v>
      </c>
    </row>
    <row r="54" spans="1:14" x14ac:dyDescent="0.3">
      <c r="A54" s="16" t="s">
        <v>227</v>
      </c>
      <c r="B54" s="15">
        <v>45460</v>
      </c>
      <c r="C54" s="16" t="s">
        <v>128</v>
      </c>
      <c r="D54" s="16" t="s">
        <v>129</v>
      </c>
      <c r="E54" s="16" t="s">
        <v>106</v>
      </c>
      <c r="F54" s="16" t="s">
        <v>107</v>
      </c>
      <c r="G54" s="16" t="s">
        <v>66</v>
      </c>
      <c r="H54" s="17">
        <v>2</v>
      </c>
      <c r="I54" s="17">
        <v>299.99</v>
      </c>
      <c r="J54" s="16" t="s">
        <v>74</v>
      </c>
      <c r="K54" s="16" t="s">
        <v>79</v>
      </c>
      <c r="L54" s="16" t="s">
        <v>58</v>
      </c>
      <c r="M54" s="15">
        <v>45253</v>
      </c>
      <c r="N54" s="17">
        <v>599.98</v>
      </c>
    </row>
    <row r="55" spans="1:14" x14ac:dyDescent="0.3">
      <c r="A55" s="16" t="s">
        <v>228</v>
      </c>
      <c r="B55" s="15">
        <v>45468</v>
      </c>
      <c r="C55" s="16" t="s">
        <v>142</v>
      </c>
      <c r="D55" s="16" t="s">
        <v>143</v>
      </c>
      <c r="E55" s="16" t="s">
        <v>114</v>
      </c>
      <c r="F55" s="16" t="s">
        <v>115</v>
      </c>
      <c r="G55" s="16" t="s">
        <v>43</v>
      </c>
      <c r="H55" s="17">
        <v>4</v>
      </c>
      <c r="I55" s="17">
        <v>89.99</v>
      </c>
      <c r="J55" s="16" t="s">
        <v>74</v>
      </c>
      <c r="K55" s="16" t="s">
        <v>57</v>
      </c>
      <c r="L55" s="16" t="s">
        <v>46</v>
      </c>
      <c r="M55" s="15">
        <v>45281</v>
      </c>
      <c r="N55" s="17">
        <v>359.96</v>
      </c>
    </row>
    <row r="56" spans="1:14" x14ac:dyDescent="0.3">
      <c r="A56" s="16" t="s">
        <v>229</v>
      </c>
      <c r="B56" s="15">
        <v>45469</v>
      </c>
      <c r="C56" s="16" t="s">
        <v>51</v>
      </c>
      <c r="D56" s="16" t="s">
        <v>52</v>
      </c>
      <c r="E56" s="16" t="s">
        <v>112</v>
      </c>
      <c r="F56" s="16" t="s">
        <v>113</v>
      </c>
      <c r="G56" s="16" t="s">
        <v>55</v>
      </c>
      <c r="H56" s="17">
        <v>1</v>
      </c>
      <c r="I56" s="17">
        <v>79.989999999999995</v>
      </c>
      <c r="J56" s="16" t="s">
        <v>56</v>
      </c>
      <c r="K56" s="16" t="s">
        <v>45</v>
      </c>
      <c r="L56" s="16" t="s">
        <v>50</v>
      </c>
      <c r="M56" s="15">
        <v>45352</v>
      </c>
      <c r="N56" s="17">
        <v>79.989999999999995</v>
      </c>
    </row>
    <row r="57" spans="1:14" x14ac:dyDescent="0.3">
      <c r="A57" s="16" t="s">
        <v>230</v>
      </c>
      <c r="B57" s="15">
        <v>45469</v>
      </c>
      <c r="C57" s="16" t="s">
        <v>75</v>
      </c>
      <c r="D57" s="16" t="s">
        <v>76</v>
      </c>
      <c r="E57" s="16" t="s">
        <v>114</v>
      </c>
      <c r="F57" s="16" t="s">
        <v>115</v>
      </c>
      <c r="G57" s="16" t="s">
        <v>43</v>
      </c>
      <c r="H57" s="17">
        <v>2</v>
      </c>
      <c r="I57" s="17">
        <v>89.99</v>
      </c>
      <c r="J57" s="16" t="s">
        <v>44</v>
      </c>
      <c r="K57" s="16" t="s">
        <v>69</v>
      </c>
      <c r="L57" s="16" t="s">
        <v>46</v>
      </c>
      <c r="M57" s="15">
        <v>44438</v>
      </c>
      <c r="N57" s="17">
        <v>179.98</v>
      </c>
    </row>
    <row r="58" spans="1:14" x14ac:dyDescent="0.3">
      <c r="A58" s="16" t="s">
        <v>231</v>
      </c>
      <c r="B58" s="15">
        <v>45471</v>
      </c>
      <c r="C58" s="16" t="s">
        <v>59</v>
      </c>
      <c r="D58" s="16" t="s">
        <v>60</v>
      </c>
      <c r="E58" s="16" t="s">
        <v>90</v>
      </c>
      <c r="F58" s="16" t="s">
        <v>91</v>
      </c>
      <c r="G58" s="16" t="s">
        <v>43</v>
      </c>
      <c r="H58" s="17">
        <v>3</v>
      </c>
      <c r="I58" s="17">
        <v>699.99</v>
      </c>
      <c r="J58" s="16" t="s">
        <v>49</v>
      </c>
      <c r="K58" s="16" t="s">
        <v>79</v>
      </c>
      <c r="L58" s="16" t="s">
        <v>50</v>
      </c>
      <c r="M58" s="15">
        <v>45102</v>
      </c>
      <c r="N58" s="17">
        <v>2099.9699999999998</v>
      </c>
    </row>
    <row r="59" spans="1:14" x14ac:dyDescent="0.3">
      <c r="A59" s="16" t="s">
        <v>232</v>
      </c>
      <c r="B59" s="15">
        <v>45471</v>
      </c>
      <c r="C59" s="16" t="s">
        <v>102</v>
      </c>
      <c r="D59" s="16" t="s">
        <v>103</v>
      </c>
      <c r="E59" s="16" t="s">
        <v>77</v>
      </c>
      <c r="F59" s="16" t="s">
        <v>78</v>
      </c>
      <c r="G59" s="16" t="s">
        <v>43</v>
      </c>
      <c r="H59" s="17">
        <v>4</v>
      </c>
      <c r="I59" s="17">
        <v>899.99</v>
      </c>
      <c r="J59" s="16" t="s">
        <v>49</v>
      </c>
      <c r="K59" s="16" t="s">
        <v>79</v>
      </c>
      <c r="L59" s="16" t="s">
        <v>50</v>
      </c>
      <c r="M59" s="15">
        <v>44993</v>
      </c>
      <c r="N59" s="17">
        <v>3599.96</v>
      </c>
    </row>
    <row r="60" spans="1:14" x14ac:dyDescent="0.3">
      <c r="A60" s="16" t="s">
        <v>233</v>
      </c>
      <c r="B60" s="15">
        <v>45472</v>
      </c>
      <c r="C60" s="16" t="s">
        <v>116</v>
      </c>
      <c r="D60" s="16" t="s">
        <v>117</v>
      </c>
      <c r="E60" s="16" t="s">
        <v>64</v>
      </c>
      <c r="F60" s="16" t="s">
        <v>65</v>
      </c>
      <c r="G60" s="16" t="s">
        <v>66</v>
      </c>
      <c r="H60" s="17">
        <v>1</v>
      </c>
      <c r="I60" s="17">
        <v>149.99</v>
      </c>
      <c r="J60" s="16" t="s">
        <v>56</v>
      </c>
      <c r="K60" s="16" t="s">
        <v>79</v>
      </c>
      <c r="L60" s="16" t="s">
        <v>46</v>
      </c>
      <c r="M60" s="15">
        <v>44851</v>
      </c>
      <c r="N60" s="17">
        <v>149.99</v>
      </c>
    </row>
    <row r="61" spans="1:14" x14ac:dyDescent="0.3">
      <c r="A61" s="16" t="s">
        <v>234</v>
      </c>
      <c r="B61" s="15">
        <v>45474</v>
      </c>
      <c r="C61" s="16" t="s">
        <v>124</v>
      </c>
      <c r="D61" s="16" t="s">
        <v>125</v>
      </c>
      <c r="E61" s="16" t="s">
        <v>114</v>
      </c>
      <c r="F61" s="16" t="s">
        <v>115</v>
      </c>
      <c r="G61" s="16" t="s">
        <v>43</v>
      </c>
      <c r="H61" s="17">
        <v>2</v>
      </c>
      <c r="I61" s="17">
        <v>89.99</v>
      </c>
      <c r="J61" s="16" t="s">
        <v>56</v>
      </c>
      <c r="K61" s="16" t="s">
        <v>45</v>
      </c>
      <c r="L61" s="16" t="s">
        <v>50</v>
      </c>
      <c r="M61" s="15">
        <v>45275</v>
      </c>
      <c r="N61" s="17">
        <v>179.98</v>
      </c>
    </row>
    <row r="62" spans="1:14" x14ac:dyDescent="0.3">
      <c r="A62" s="16" t="s">
        <v>235</v>
      </c>
      <c r="B62" s="15">
        <v>45475</v>
      </c>
      <c r="C62" s="16" t="s">
        <v>72</v>
      </c>
      <c r="D62" s="16" t="s">
        <v>73</v>
      </c>
      <c r="E62" s="16" t="s">
        <v>114</v>
      </c>
      <c r="F62" s="16" t="s">
        <v>115</v>
      </c>
      <c r="G62" s="16" t="s">
        <v>43</v>
      </c>
      <c r="H62" s="17">
        <v>1</v>
      </c>
      <c r="I62" s="17">
        <v>89.99</v>
      </c>
      <c r="J62" s="16" t="s">
        <v>56</v>
      </c>
      <c r="K62" s="16" t="s">
        <v>69</v>
      </c>
      <c r="L62" s="16" t="s">
        <v>58</v>
      </c>
      <c r="M62" s="15">
        <v>44802</v>
      </c>
      <c r="N62" s="17">
        <v>89.99</v>
      </c>
    </row>
    <row r="63" spans="1:14" x14ac:dyDescent="0.3">
      <c r="A63" s="16" t="s">
        <v>236</v>
      </c>
      <c r="B63" s="15">
        <v>45476</v>
      </c>
      <c r="C63" s="16" t="s">
        <v>82</v>
      </c>
      <c r="D63" s="16" t="s">
        <v>83</v>
      </c>
      <c r="E63" s="16" t="s">
        <v>114</v>
      </c>
      <c r="F63" s="16" t="s">
        <v>115</v>
      </c>
      <c r="G63" s="16" t="s">
        <v>43</v>
      </c>
      <c r="H63" s="17">
        <v>1</v>
      </c>
      <c r="I63" s="17">
        <v>89.99</v>
      </c>
      <c r="J63" s="16" t="s">
        <v>44</v>
      </c>
      <c r="K63" s="16" t="s">
        <v>57</v>
      </c>
      <c r="L63" s="16" t="s">
        <v>58</v>
      </c>
      <c r="M63" s="15">
        <v>44611</v>
      </c>
      <c r="N63" s="17">
        <v>89.99</v>
      </c>
    </row>
    <row r="64" spans="1:14" x14ac:dyDescent="0.3">
      <c r="A64" s="16" t="s">
        <v>237</v>
      </c>
      <c r="B64" s="15">
        <v>45476</v>
      </c>
      <c r="C64" s="16" t="s">
        <v>144</v>
      </c>
      <c r="D64" s="16" t="s">
        <v>145</v>
      </c>
      <c r="E64" s="16" t="s">
        <v>112</v>
      </c>
      <c r="F64" s="16" t="s">
        <v>113</v>
      </c>
      <c r="G64" s="16" t="s">
        <v>55</v>
      </c>
      <c r="H64" s="17">
        <v>5</v>
      </c>
      <c r="I64" s="17">
        <v>79.989999999999995</v>
      </c>
      <c r="J64" s="16" t="s">
        <v>74</v>
      </c>
      <c r="K64" s="16" t="s">
        <v>45</v>
      </c>
      <c r="L64" s="16" t="s">
        <v>46</v>
      </c>
      <c r="M64" s="15">
        <v>44981</v>
      </c>
      <c r="N64" s="17">
        <v>399.95</v>
      </c>
    </row>
    <row r="65" spans="1:14" x14ac:dyDescent="0.3">
      <c r="A65" s="16" t="s">
        <v>238</v>
      </c>
      <c r="B65" s="15">
        <v>45481</v>
      </c>
      <c r="C65" s="16" t="s">
        <v>146</v>
      </c>
      <c r="D65" s="16" t="s">
        <v>147</v>
      </c>
      <c r="E65" s="16" t="s">
        <v>64</v>
      </c>
      <c r="F65" s="16" t="s">
        <v>65</v>
      </c>
      <c r="G65" s="16" t="s">
        <v>66</v>
      </c>
      <c r="H65" s="17">
        <v>1</v>
      </c>
      <c r="I65" s="17">
        <v>149.99</v>
      </c>
      <c r="J65" s="16" t="s">
        <v>56</v>
      </c>
      <c r="K65" s="16" t="s">
        <v>61</v>
      </c>
      <c r="L65" s="16" t="s">
        <v>46</v>
      </c>
      <c r="M65" s="15">
        <v>44421</v>
      </c>
      <c r="N65" s="17">
        <v>149.99</v>
      </c>
    </row>
    <row r="66" spans="1:14" x14ac:dyDescent="0.3">
      <c r="A66" s="16" t="s">
        <v>239</v>
      </c>
      <c r="B66" s="15">
        <v>45481</v>
      </c>
      <c r="C66" s="16" t="s">
        <v>62</v>
      </c>
      <c r="D66" s="16" t="s">
        <v>63</v>
      </c>
      <c r="E66" s="16" t="s">
        <v>90</v>
      </c>
      <c r="F66" s="16" t="s">
        <v>91</v>
      </c>
      <c r="G66" s="16" t="s">
        <v>43</v>
      </c>
      <c r="H66" s="17">
        <v>2</v>
      </c>
      <c r="I66" s="17">
        <v>699.99</v>
      </c>
      <c r="J66" s="16" t="s">
        <v>56</v>
      </c>
      <c r="K66" s="16" t="s">
        <v>79</v>
      </c>
      <c r="L66" s="16" t="s">
        <v>50</v>
      </c>
      <c r="M66" s="15">
        <v>45389</v>
      </c>
      <c r="N66" s="17">
        <v>1399.98</v>
      </c>
    </row>
    <row r="67" spans="1:14" x14ac:dyDescent="0.3">
      <c r="A67" s="16" t="s">
        <v>240</v>
      </c>
      <c r="B67" s="15">
        <v>45481</v>
      </c>
      <c r="C67" s="16" t="s">
        <v>100</v>
      </c>
      <c r="D67" s="16" t="s">
        <v>101</v>
      </c>
      <c r="E67" s="16" t="s">
        <v>114</v>
      </c>
      <c r="F67" s="16" t="s">
        <v>115</v>
      </c>
      <c r="G67" s="16" t="s">
        <v>43</v>
      </c>
      <c r="H67" s="17">
        <v>5</v>
      </c>
      <c r="I67" s="17">
        <v>89.99</v>
      </c>
      <c r="J67" s="16" t="s">
        <v>74</v>
      </c>
      <c r="K67" s="16" t="s">
        <v>61</v>
      </c>
      <c r="L67" s="16" t="s">
        <v>50</v>
      </c>
      <c r="M67" s="15">
        <v>45161</v>
      </c>
      <c r="N67" s="17">
        <v>449.95</v>
      </c>
    </row>
    <row r="68" spans="1:14" x14ac:dyDescent="0.3">
      <c r="A68" s="16" t="s">
        <v>241</v>
      </c>
      <c r="B68" s="15">
        <v>45482</v>
      </c>
      <c r="C68" s="16" t="s">
        <v>142</v>
      </c>
      <c r="D68" s="16" t="s">
        <v>143</v>
      </c>
      <c r="E68" s="16" t="s">
        <v>53</v>
      </c>
      <c r="F68" s="16" t="s">
        <v>54</v>
      </c>
      <c r="G68" s="16" t="s">
        <v>55</v>
      </c>
      <c r="H68" s="17">
        <v>4</v>
      </c>
      <c r="I68" s="17">
        <v>59.99</v>
      </c>
      <c r="J68" s="16" t="s">
        <v>44</v>
      </c>
      <c r="K68" s="16" t="s">
        <v>57</v>
      </c>
      <c r="L68" s="16" t="s">
        <v>58</v>
      </c>
      <c r="M68" s="15">
        <v>44509</v>
      </c>
      <c r="N68" s="17">
        <v>239.96</v>
      </c>
    </row>
    <row r="69" spans="1:14" x14ac:dyDescent="0.3">
      <c r="A69" s="16" t="s">
        <v>242</v>
      </c>
      <c r="B69" s="15">
        <v>45484</v>
      </c>
      <c r="C69" s="16" t="s">
        <v>47</v>
      </c>
      <c r="D69" s="16" t="s">
        <v>48</v>
      </c>
      <c r="E69" s="16" t="s">
        <v>70</v>
      </c>
      <c r="F69" s="16" t="s">
        <v>71</v>
      </c>
      <c r="G69" s="16" t="s">
        <v>43</v>
      </c>
      <c r="H69" s="17">
        <v>1</v>
      </c>
      <c r="I69" s="17">
        <v>149.99</v>
      </c>
      <c r="J69" s="16" t="s">
        <v>44</v>
      </c>
      <c r="K69" s="16" t="s">
        <v>45</v>
      </c>
      <c r="L69" s="16" t="s">
        <v>58</v>
      </c>
      <c r="M69" s="15">
        <v>44909</v>
      </c>
      <c r="N69" s="17">
        <v>149.99</v>
      </c>
    </row>
    <row r="70" spans="1:14" x14ac:dyDescent="0.3">
      <c r="A70" s="16" t="s">
        <v>243</v>
      </c>
      <c r="B70" s="15">
        <v>45484</v>
      </c>
      <c r="C70" s="16" t="s">
        <v>148</v>
      </c>
      <c r="D70" s="16" t="s">
        <v>149</v>
      </c>
      <c r="E70" s="16" t="s">
        <v>106</v>
      </c>
      <c r="F70" s="16" t="s">
        <v>107</v>
      </c>
      <c r="G70" s="16" t="s">
        <v>66</v>
      </c>
      <c r="H70" s="17">
        <v>1</v>
      </c>
      <c r="I70" s="17">
        <v>299.99</v>
      </c>
      <c r="J70" s="16" t="s">
        <v>49</v>
      </c>
      <c r="K70" s="16" t="s">
        <v>61</v>
      </c>
      <c r="L70" s="16" t="s">
        <v>50</v>
      </c>
      <c r="M70" s="15">
        <v>44891</v>
      </c>
      <c r="N70" s="17">
        <v>299.99</v>
      </c>
    </row>
    <row r="71" spans="1:14" x14ac:dyDescent="0.3">
      <c r="A71" s="16" t="s">
        <v>244</v>
      </c>
      <c r="B71" s="15">
        <v>45487</v>
      </c>
      <c r="C71" s="16" t="s">
        <v>148</v>
      </c>
      <c r="D71" s="16" t="s">
        <v>149</v>
      </c>
      <c r="E71" s="16" t="s">
        <v>120</v>
      </c>
      <c r="F71" s="16" t="s">
        <v>121</v>
      </c>
      <c r="G71" s="16" t="s">
        <v>66</v>
      </c>
      <c r="H71" s="17">
        <v>2</v>
      </c>
      <c r="I71" s="17">
        <v>199.99</v>
      </c>
      <c r="J71" s="16" t="s">
        <v>44</v>
      </c>
      <c r="K71" s="16" t="s">
        <v>61</v>
      </c>
      <c r="L71" s="16" t="s">
        <v>46</v>
      </c>
      <c r="M71" s="15">
        <v>44541</v>
      </c>
      <c r="N71" s="17">
        <v>399.98</v>
      </c>
    </row>
    <row r="72" spans="1:14" x14ac:dyDescent="0.3">
      <c r="A72" s="16" t="s">
        <v>245</v>
      </c>
      <c r="B72" s="15">
        <v>45490</v>
      </c>
      <c r="C72" s="16" t="s">
        <v>150</v>
      </c>
      <c r="D72" s="16" t="s">
        <v>151</v>
      </c>
      <c r="E72" s="16" t="s">
        <v>53</v>
      </c>
      <c r="F72" s="16" t="s">
        <v>54</v>
      </c>
      <c r="G72" s="16" t="s">
        <v>55</v>
      </c>
      <c r="H72" s="17">
        <v>3</v>
      </c>
      <c r="I72" s="17">
        <v>59.99</v>
      </c>
      <c r="J72" s="16" t="s">
        <v>49</v>
      </c>
      <c r="K72" s="16" t="s">
        <v>69</v>
      </c>
      <c r="L72" s="16" t="s">
        <v>46</v>
      </c>
      <c r="M72" s="15">
        <v>45130</v>
      </c>
      <c r="N72" s="17">
        <v>179.97</v>
      </c>
    </row>
    <row r="73" spans="1:14" x14ac:dyDescent="0.3">
      <c r="A73" s="16" t="s">
        <v>246</v>
      </c>
      <c r="B73" s="15">
        <v>45490</v>
      </c>
      <c r="C73" s="16" t="s">
        <v>84</v>
      </c>
      <c r="D73" s="16" t="s">
        <v>85</v>
      </c>
      <c r="E73" s="16" t="s">
        <v>64</v>
      </c>
      <c r="F73" s="16" t="s">
        <v>65</v>
      </c>
      <c r="G73" s="16" t="s">
        <v>66</v>
      </c>
      <c r="H73" s="17">
        <v>3</v>
      </c>
      <c r="I73" s="17">
        <v>149.99</v>
      </c>
      <c r="J73" s="16" t="s">
        <v>44</v>
      </c>
      <c r="K73" s="16" t="s">
        <v>45</v>
      </c>
      <c r="L73" s="16" t="s">
        <v>50</v>
      </c>
      <c r="M73" s="15">
        <v>45199</v>
      </c>
      <c r="N73" s="17">
        <v>449.97</v>
      </c>
    </row>
    <row r="74" spans="1:14" x14ac:dyDescent="0.3">
      <c r="A74" s="16" t="s">
        <v>247</v>
      </c>
      <c r="B74" s="15">
        <v>45491</v>
      </c>
      <c r="C74" s="16" t="s">
        <v>80</v>
      </c>
      <c r="D74" s="16" t="s">
        <v>81</v>
      </c>
      <c r="E74" s="16" t="s">
        <v>120</v>
      </c>
      <c r="F74" s="16" t="s">
        <v>121</v>
      </c>
      <c r="G74" s="16" t="s">
        <v>66</v>
      </c>
      <c r="H74" s="17">
        <v>3</v>
      </c>
      <c r="I74" s="17">
        <v>199.99</v>
      </c>
      <c r="J74" s="16" t="s">
        <v>44</v>
      </c>
      <c r="K74" s="16" t="s">
        <v>61</v>
      </c>
      <c r="L74" s="16" t="s">
        <v>50</v>
      </c>
      <c r="M74" s="15">
        <v>45254</v>
      </c>
      <c r="N74" s="17">
        <v>599.97</v>
      </c>
    </row>
    <row r="75" spans="1:14" x14ac:dyDescent="0.3">
      <c r="A75" s="16" t="s">
        <v>248</v>
      </c>
      <c r="B75" s="15">
        <v>45496</v>
      </c>
      <c r="C75" s="16" t="s">
        <v>134</v>
      </c>
      <c r="D75" s="16" t="s">
        <v>135</v>
      </c>
      <c r="E75" s="16" t="s">
        <v>77</v>
      </c>
      <c r="F75" s="16" t="s">
        <v>78</v>
      </c>
      <c r="G75" s="16" t="s">
        <v>43</v>
      </c>
      <c r="H75" s="17">
        <v>1</v>
      </c>
      <c r="I75" s="17">
        <v>899.99</v>
      </c>
      <c r="J75" s="16" t="s">
        <v>44</v>
      </c>
      <c r="K75" s="16" t="s">
        <v>45</v>
      </c>
      <c r="L75" s="16" t="s">
        <v>58</v>
      </c>
      <c r="M75" s="15">
        <v>45179</v>
      </c>
      <c r="N75" s="17">
        <v>899.99</v>
      </c>
    </row>
    <row r="76" spans="1:14" x14ac:dyDescent="0.3">
      <c r="A76" s="16" t="s">
        <v>249</v>
      </c>
      <c r="B76" s="15">
        <v>45497</v>
      </c>
      <c r="C76" s="16" t="s">
        <v>47</v>
      </c>
      <c r="D76" s="16" t="s">
        <v>48</v>
      </c>
      <c r="E76" s="16" t="s">
        <v>77</v>
      </c>
      <c r="F76" s="16" t="s">
        <v>78</v>
      </c>
      <c r="G76" s="16" t="s">
        <v>43</v>
      </c>
      <c r="H76" s="17">
        <v>5</v>
      </c>
      <c r="I76" s="17">
        <v>899.99</v>
      </c>
      <c r="J76" s="16" t="s">
        <v>74</v>
      </c>
      <c r="K76" s="16" t="s">
        <v>57</v>
      </c>
      <c r="L76" s="16" t="s">
        <v>58</v>
      </c>
      <c r="M76" s="15">
        <v>44899</v>
      </c>
      <c r="N76" s="17">
        <v>4499.95</v>
      </c>
    </row>
    <row r="77" spans="1:14" x14ac:dyDescent="0.3">
      <c r="A77" s="16" t="s">
        <v>250</v>
      </c>
      <c r="B77" s="15">
        <v>45498</v>
      </c>
      <c r="C77" s="16" t="s">
        <v>144</v>
      </c>
      <c r="D77" s="16" t="s">
        <v>145</v>
      </c>
      <c r="E77" s="16" t="s">
        <v>53</v>
      </c>
      <c r="F77" s="16" t="s">
        <v>54</v>
      </c>
      <c r="G77" s="16" t="s">
        <v>55</v>
      </c>
      <c r="H77" s="17">
        <v>2</v>
      </c>
      <c r="I77" s="17">
        <v>59.99</v>
      </c>
      <c r="J77" s="16" t="s">
        <v>44</v>
      </c>
      <c r="K77" s="16" t="s">
        <v>61</v>
      </c>
      <c r="L77" s="16" t="s">
        <v>58</v>
      </c>
      <c r="M77" s="15">
        <v>45152</v>
      </c>
      <c r="N77" s="17">
        <v>119.98</v>
      </c>
    </row>
    <row r="78" spans="1:14" x14ac:dyDescent="0.3">
      <c r="A78" s="16" t="s">
        <v>251</v>
      </c>
      <c r="B78" s="15">
        <v>45498</v>
      </c>
      <c r="C78" s="16" t="s">
        <v>150</v>
      </c>
      <c r="D78" s="16" t="s">
        <v>151</v>
      </c>
      <c r="E78" s="16" t="s">
        <v>41</v>
      </c>
      <c r="F78" s="16" t="s">
        <v>42</v>
      </c>
      <c r="G78" s="16" t="s">
        <v>43</v>
      </c>
      <c r="H78" s="17">
        <v>4</v>
      </c>
      <c r="I78" s="17">
        <v>249.99</v>
      </c>
      <c r="J78" s="16" t="s">
        <v>74</v>
      </c>
      <c r="K78" s="16" t="s">
        <v>45</v>
      </c>
      <c r="L78" s="16" t="s">
        <v>58</v>
      </c>
      <c r="M78" s="15">
        <v>45127</v>
      </c>
      <c r="N78" s="17">
        <v>999.96</v>
      </c>
    </row>
    <row r="79" spans="1:14" x14ac:dyDescent="0.3">
      <c r="A79" s="16" t="s">
        <v>252</v>
      </c>
      <c r="B79" s="15">
        <v>45500</v>
      </c>
      <c r="C79" s="16" t="s">
        <v>100</v>
      </c>
      <c r="D79" s="16" t="s">
        <v>101</v>
      </c>
      <c r="E79" s="16" t="s">
        <v>41</v>
      </c>
      <c r="F79" s="16" t="s">
        <v>42</v>
      </c>
      <c r="G79" s="16" t="s">
        <v>43</v>
      </c>
      <c r="H79" s="17">
        <v>2</v>
      </c>
      <c r="I79" s="17">
        <v>249.99</v>
      </c>
      <c r="J79" s="16" t="s">
        <v>44</v>
      </c>
      <c r="K79" s="16" t="s">
        <v>61</v>
      </c>
      <c r="L79" s="16" t="s">
        <v>50</v>
      </c>
      <c r="M79" s="15">
        <v>45164</v>
      </c>
      <c r="N79" s="17">
        <v>499.98</v>
      </c>
    </row>
    <row r="80" spans="1:14" x14ac:dyDescent="0.3">
      <c r="A80" s="16" t="s">
        <v>253</v>
      </c>
      <c r="B80" s="15">
        <v>45500</v>
      </c>
      <c r="C80" s="16" t="s">
        <v>132</v>
      </c>
      <c r="D80" s="16" t="s">
        <v>133</v>
      </c>
      <c r="E80" s="16" t="s">
        <v>106</v>
      </c>
      <c r="F80" s="16" t="s">
        <v>107</v>
      </c>
      <c r="G80" s="16" t="s">
        <v>66</v>
      </c>
      <c r="H80" s="17">
        <v>1</v>
      </c>
      <c r="I80" s="17">
        <v>299.99</v>
      </c>
      <c r="J80" s="16" t="s">
        <v>44</v>
      </c>
      <c r="K80" s="16" t="s">
        <v>57</v>
      </c>
      <c r="L80" s="16" t="s">
        <v>46</v>
      </c>
      <c r="M80" s="15">
        <v>44982</v>
      </c>
      <c r="N80" s="17">
        <v>299.99</v>
      </c>
    </row>
    <row r="81" spans="1:14" x14ac:dyDescent="0.3">
      <c r="A81" s="16" t="s">
        <v>254</v>
      </c>
      <c r="B81" s="15">
        <v>45501</v>
      </c>
      <c r="C81" s="16" t="s">
        <v>94</v>
      </c>
      <c r="D81" s="16" t="s">
        <v>95</v>
      </c>
      <c r="E81" s="16" t="s">
        <v>114</v>
      </c>
      <c r="F81" s="16" t="s">
        <v>115</v>
      </c>
      <c r="G81" s="16" t="s">
        <v>43</v>
      </c>
      <c r="H81" s="17">
        <v>2</v>
      </c>
      <c r="I81" s="17">
        <v>89.99</v>
      </c>
      <c r="J81" s="16" t="s">
        <v>56</v>
      </c>
      <c r="K81" s="16" t="s">
        <v>57</v>
      </c>
      <c r="L81" s="16" t="s">
        <v>46</v>
      </c>
      <c r="M81" s="15">
        <v>44976</v>
      </c>
      <c r="N81" s="17">
        <v>179.98</v>
      </c>
    </row>
    <row r="82" spans="1:14" x14ac:dyDescent="0.3">
      <c r="A82" s="16" t="s">
        <v>255</v>
      </c>
      <c r="B82" s="15">
        <v>45501</v>
      </c>
      <c r="C82" s="16" t="s">
        <v>132</v>
      </c>
      <c r="D82" s="16" t="s">
        <v>133</v>
      </c>
      <c r="E82" s="16" t="s">
        <v>106</v>
      </c>
      <c r="F82" s="16" t="s">
        <v>107</v>
      </c>
      <c r="G82" s="16" t="s">
        <v>66</v>
      </c>
      <c r="H82" s="17">
        <v>3</v>
      </c>
      <c r="I82" s="17">
        <v>299.99</v>
      </c>
      <c r="J82" s="16" t="s">
        <v>44</v>
      </c>
      <c r="K82" s="16" t="s">
        <v>45</v>
      </c>
      <c r="L82" s="16" t="s">
        <v>46</v>
      </c>
      <c r="M82" s="15">
        <v>44732</v>
      </c>
      <c r="N82" s="17">
        <v>899.97</v>
      </c>
    </row>
    <row r="83" spans="1:14" x14ac:dyDescent="0.3">
      <c r="A83" s="16" t="s">
        <v>256</v>
      </c>
      <c r="B83" s="15">
        <v>45503</v>
      </c>
      <c r="C83" s="16" t="s">
        <v>94</v>
      </c>
      <c r="D83" s="16" t="s">
        <v>95</v>
      </c>
      <c r="E83" s="16" t="s">
        <v>90</v>
      </c>
      <c r="F83" s="16" t="s">
        <v>91</v>
      </c>
      <c r="G83" s="16" t="s">
        <v>43</v>
      </c>
      <c r="H83" s="17">
        <v>2</v>
      </c>
      <c r="I83" s="17">
        <v>699.99</v>
      </c>
      <c r="J83" s="16" t="s">
        <v>49</v>
      </c>
      <c r="K83" s="16" t="s">
        <v>61</v>
      </c>
      <c r="L83" s="16" t="s">
        <v>50</v>
      </c>
      <c r="M83" s="15">
        <v>44999</v>
      </c>
      <c r="N83" s="17">
        <v>1399.98</v>
      </c>
    </row>
    <row r="84" spans="1:14" x14ac:dyDescent="0.3">
      <c r="A84" s="16" t="s">
        <v>257</v>
      </c>
      <c r="B84" s="15">
        <v>45504</v>
      </c>
      <c r="C84" s="16" t="s">
        <v>116</v>
      </c>
      <c r="D84" s="16" t="s">
        <v>117</v>
      </c>
      <c r="E84" s="16" t="s">
        <v>77</v>
      </c>
      <c r="F84" s="16" t="s">
        <v>78</v>
      </c>
      <c r="G84" s="16" t="s">
        <v>43</v>
      </c>
      <c r="H84" s="17">
        <v>4</v>
      </c>
      <c r="I84" s="17">
        <v>899.99</v>
      </c>
      <c r="J84" s="16" t="s">
        <v>74</v>
      </c>
      <c r="K84" s="16" t="s">
        <v>57</v>
      </c>
      <c r="L84" s="16" t="s">
        <v>58</v>
      </c>
      <c r="M84" s="15">
        <v>44523</v>
      </c>
      <c r="N84" s="17">
        <v>3599.96</v>
      </c>
    </row>
    <row r="85" spans="1:14" x14ac:dyDescent="0.3">
      <c r="A85" s="16" t="s">
        <v>258</v>
      </c>
      <c r="B85" s="15">
        <v>45509</v>
      </c>
      <c r="C85" s="16" t="s">
        <v>152</v>
      </c>
      <c r="D85" s="16" t="s">
        <v>153</v>
      </c>
      <c r="E85" s="16" t="s">
        <v>64</v>
      </c>
      <c r="F85" s="16" t="s">
        <v>65</v>
      </c>
      <c r="G85" s="16" t="s">
        <v>66</v>
      </c>
      <c r="H85" s="17">
        <v>2</v>
      </c>
      <c r="I85" s="17">
        <v>149.99</v>
      </c>
      <c r="J85" s="16" t="s">
        <v>49</v>
      </c>
      <c r="K85" s="16" t="s">
        <v>69</v>
      </c>
      <c r="L85" s="16" t="s">
        <v>46</v>
      </c>
      <c r="M85" s="15">
        <v>44542</v>
      </c>
      <c r="N85" s="17">
        <v>299.98</v>
      </c>
    </row>
    <row r="86" spans="1:14" x14ac:dyDescent="0.3">
      <c r="A86" s="16" t="s">
        <v>259</v>
      </c>
      <c r="B86" s="15">
        <v>45510</v>
      </c>
      <c r="C86" s="16" t="s">
        <v>104</v>
      </c>
      <c r="D86" s="16" t="s">
        <v>105</v>
      </c>
      <c r="E86" s="16" t="s">
        <v>64</v>
      </c>
      <c r="F86" s="16" t="s">
        <v>65</v>
      </c>
      <c r="G86" s="16" t="s">
        <v>66</v>
      </c>
      <c r="H86" s="17">
        <v>2</v>
      </c>
      <c r="I86" s="17">
        <v>149.99</v>
      </c>
      <c r="J86" s="16" t="s">
        <v>74</v>
      </c>
      <c r="K86" s="16" t="s">
        <v>79</v>
      </c>
      <c r="L86" s="16" t="s">
        <v>58</v>
      </c>
      <c r="M86" s="15">
        <v>44667</v>
      </c>
      <c r="N86" s="17">
        <v>299.98</v>
      </c>
    </row>
    <row r="87" spans="1:14" x14ac:dyDescent="0.3">
      <c r="A87" s="16" t="s">
        <v>260</v>
      </c>
      <c r="B87" s="15">
        <v>45513</v>
      </c>
      <c r="C87" s="16" t="s">
        <v>96</v>
      </c>
      <c r="D87" s="16" t="s">
        <v>97</v>
      </c>
      <c r="E87" s="16" t="s">
        <v>114</v>
      </c>
      <c r="F87" s="16" t="s">
        <v>115</v>
      </c>
      <c r="G87" s="16" t="s">
        <v>43</v>
      </c>
      <c r="H87" s="17">
        <v>1</v>
      </c>
      <c r="I87" s="17">
        <v>89.99</v>
      </c>
      <c r="J87" s="16" t="s">
        <v>49</v>
      </c>
      <c r="K87" s="16" t="s">
        <v>61</v>
      </c>
      <c r="L87" s="16" t="s">
        <v>58</v>
      </c>
      <c r="M87" s="15">
        <v>45393</v>
      </c>
      <c r="N87" s="17">
        <v>89.99</v>
      </c>
    </row>
    <row r="88" spans="1:14" x14ac:dyDescent="0.3">
      <c r="A88" s="16" t="s">
        <v>261</v>
      </c>
      <c r="B88" s="15">
        <v>45515</v>
      </c>
      <c r="C88" s="16" t="s">
        <v>94</v>
      </c>
      <c r="D88" s="16" t="s">
        <v>95</v>
      </c>
      <c r="E88" s="16" t="s">
        <v>106</v>
      </c>
      <c r="F88" s="16" t="s">
        <v>107</v>
      </c>
      <c r="G88" s="16" t="s">
        <v>66</v>
      </c>
      <c r="H88" s="17">
        <v>5</v>
      </c>
      <c r="I88" s="17">
        <v>299.99</v>
      </c>
      <c r="J88" s="16" t="s">
        <v>49</v>
      </c>
      <c r="K88" s="16" t="s">
        <v>61</v>
      </c>
      <c r="L88" s="16" t="s">
        <v>46</v>
      </c>
      <c r="M88" s="15">
        <v>44965</v>
      </c>
      <c r="N88" s="17">
        <v>1499.95</v>
      </c>
    </row>
    <row r="89" spans="1:14" x14ac:dyDescent="0.3">
      <c r="A89" s="16" t="s">
        <v>262</v>
      </c>
      <c r="B89" s="15">
        <v>45517</v>
      </c>
      <c r="C89" s="16" t="s">
        <v>144</v>
      </c>
      <c r="D89" s="16" t="s">
        <v>145</v>
      </c>
      <c r="E89" s="16" t="s">
        <v>70</v>
      </c>
      <c r="F89" s="16" t="s">
        <v>71</v>
      </c>
      <c r="G89" s="16" t="s">
        <v>43</v>
      </c>
      <c r="H89" s="17">
        <v>4</v>
      </c>
      <c r="I89" s="17">
        <v>149.99</v>
      </c>
      <c r="J89" s="16" t="s">
        <v>74</v>
      </c>
      <c r="K89" s="16" t="s">
        <v>57</v>
      </c>
      <c r="L89" s="16" t="s">
        <v>50</v>
      </c>
      <c r="M89" s="15">
        <v>44820</v>
      </c>
      <c r="N89" s="17">
        <v>599.96</v>
      </c>
    </row>
    <row r="90" spans="1:14" x14ac:dyDescent="0.3">
      <c r="A90" s="16" t="s">
        <v>263</v>
      </c>
      <c r="B90" s="15">
        <v>45517</v>
      </c>
      <c r="C90" s="16" t="s">
        <v>146</v>
      </c>
      <c r="D90" s="16" t="s">
        <v>147</v>
      </c>
      <c r="E90" s="16" t="s">
        <v>41</v>
      </c>
      <c r="F90" s="16" t="s">
        <v>42</v>
      </c>
      <c r="G90" s="16" t="s">
        <v>43</v>
      </c>
      <c r="H90" s="17">
        <v>5</v>
      </c>
      <c r="I90" s="17">
        <v>249.99</v>
      </c>
      <c r="J90" s="16" t="s">
        <v>56</v>
      </c>
      <c r="K90" s="16" t="s">
        <v>79</v>
      </c>
      <c r="L90" s="16" t="s">
        <v>50</v>
      </c>
      <c r="M90" s="15">
        <v>44782</v>
      </c>
      <c r="N90" s="17">
        <v>1249.95</v>
      </c>
    </row>
    <row r="91" spans="1:14" x14ac:dyDescent="0.3">
      <c r="A91" s="16" t="s">
        <v>264</v>
      </c>
      <c r="B91" s="15">
        <v>45517</v>
      </c>
      <c r="C91" s="16" t="s">
        <v>80</v>
      </c>
      <c r="D91" s="16" t="s">
        <v>81</v>
      </c>
      <c r="E91" s="16" t="s">
        <v>41</v>
      </c>
      <c r="F91" s="16" t="s">
        <v>42</v>
      </c>
      <c r="G91" s="16" t="s">
        <v>43</v>
      </c>
      <c r="H91" s="17">
        <v>3</v>
      </c>
      <c r="I91" s="17">
        <v>249.99</v>
      </c>
      <c r="J91" s="16" t="s">
        <v>56</v>
      </c>
      <c r="K91" s="16" t="s">
        <v>61</v>
      </c>
      <c r="L91" s="16" t="s">
        <v>50</v>
      </c>
      <c r="M91" s="15">
        <v>44465</v>
      </c>
      <c r="N91" s="17">
        <v>749.97</v>
      </c>
    </row>
    <row r="92" spans="1:14" x14ac:dyDescent="0.3">
      <c r="A92" s="16" t="s">
        <v>265</v>
      </c>
      <c r="B92" s="15">
        <v>45517</v>
      </c>
      <c r="C92" s="16" t="s">
        <v>59</v>
      </c>
      <c r="D92" s="16" t="s">
        <v>60</v>
      </c>
      <c r="E92" s="16" t="s">
        <v>120</v>
      </c>
      <c r="F92" s="16" t="s">
        <v>121</v>
      </c>
      <c r="G92" s="16" t="s">
        <v>66</v>
      </c>
      <c r="H92" s="17">
        <v>4</v>
      </c>
      <c r="I92" s="17">
        <v>199.99</v>
      </c>
      <c r="J92" s="16" t="s">
        <v>44</v>
      </c>
      <c r="K92" s="16" t="s">
        <v>61</v>
      </c>
      <c r="L92" s="16" t="s">
        <v>58</v>
      </c>
      <c r="M92" s="15">
        <v>44458</v>
      </c>
      <c r="N92" s="17">
        <v>799.96</v>
      </c>
    </row>
    <row r="93" spans="1:14" x14ac:dyDescent="0.3">
      <c r="A93" s="16" t="s">
        <v>266</v>
      </c>
      <c r="B93" s="15">
        <v>45519</v>
      </c>
      <c r="C93" s="16" t="s">
        <v>138</v>
      </c>
      <c r="D93" s="16" t="s">
        <v>139</v>
      </c>
      <c r="E93" s="16" t="s">
        <v>120</v>
      </c>
      <c r="F93" s="16" t="s">
        <v>121</v>
      </c>
      <c r="G93" s="16" t="s">
        <v>66</v>
      </c>
      <c r="H93" s="17">
        <v>5</v>
      </c>
      <c r="I93" s="17">
        <v>199.99</v>
      </c>
      <c r="J93" s="16" t="s">
        <v>44</v>
      </c>
      <c r="K93" s="16" t="s">
        <v>61</v>
      </c>
      <c r="L93" s="16" t="s">
        <v>50</v>
      </c>
      <c r="M93" s="15">
        <v>44991</v>
      </c>
      <c r="N93" s="17">
        <v>999.95</v>
      </c>
    </row>
    <row r="94" spans="1:14" x14ac:dyDescent="0.3">
      <c r="A94" s="16" t="s">
        <v>267</v>
      </c>
      <c r="B94" s="15">
        <v>45522</v>
      </c>
      <c r="C94" s="16" t="s">
        <v>94</v>
      </c>
      <c r="D94" s="16" t="s">
        <v>95</v>
      </c>
      <c r="E94" s="16" t="s">
        <v>114</v>
      </c>
      <c r="F94" s="16" t="s">
        <v>115</v>
      </c>
      <c r="G94" s="16" t="s">
        <v>43</v>
      </c>
      <c r="H94" s="17">
        <v>2</v>
      </c>
      <c r="I94" s="17">
        <v>89.99</v>
      </c>
      <c r="J94" s="16" t="s">
        <v>44</v>
      </c>
      <c r="K94" s="16" t="s">
        <v>79</v>
      </c>
      <c r="L94" s="16" t="s">
        <v>50</v>
      </c>
      <c r="M94" s="15">
        <v>44972</v>
      </c>
      <c r="N94" s="17">
        <v>179.98</v>
      </c>
    </row>
    <row r="95" spans="1:14" x14ac:dyDescent="0.3">
      <c r="A95" s="16" t="s">
        <v>268</v>
      </c>
      <c r="B95" s="15">
        <v>45523</v>
      </c>
      <c r="C95" s="16" t="s">
        <v>150</v>
      </c>
      <c r="D95" s="16" t="s">
        <v>151</v>
      </c>
      <c r="E95" s="16" t="s">
        <v>77</v>
      </c>
      <c r="F95" s="16" t="s">
        <v>78</v>
      </c>
      <c r="G95" s="16" t="s">
        <v>43</v>
      </c>
      <c r="H95" s="17">
        <v>5</v>
      </c>
      <c r="I95" s="17">
        <v>899.99</v>
      </c>
      <c r="J95" s="16" t="s">
        <v>74</v>
      </c>
      <c r="K95" s="16" t="s">
        <v>79</v>
      </c>
      <c r="L95" s="16" t="s">
        <v>46</v>
      </c>
      <c r="M95" s="15">
        <v>44526</v>
      </c>
      <c r="N95" s="17">
        <v>4499.95</v>
      </c>
    </row>
    <row r="96" spans="1:14" x14ac:dyDescent="0.3">
      <c r="A96" s="16" t="s">
        <v>269</v>
      </c>
      <c r="B96" s="15">
        <v>45523</v>
      </c>
      <c r="C96" s="16" t="s">
        <v>108</v>
      </c>
      <c r="D96" s="16" t="s">
        <v>109</v>
      </c>
      <c r="E96" s="16" t="s">
        <v>70</v>
      </c>
      <c r="F96" s="16" t="s">
        <v>71</v>
      </c>
      <c r="G96" s="16" t="s">
        <v>43</v>
      </c>
      <c r="H96" s="17">
        <v>3</v>
      </c>
      <c r="I96" s="17">
        <v>149.99</v>
      </c>
      <c r="J96" s="16" t="s">
        <v>56</v>
      </c>
      <c r="K96" s="16" t="s">
        <v>79</v>
      </c>
      <c r="L96" s="16" t="s">
        <v>46</v>
      </c>
      <c r="M96" s="15">
        <v>44574</v>
      </c>
      <c r="N96" s="17">
        <v>449.97</v>
      </c>
    </row>
    <row r="97" spans="1:14" x14ac:dyDescent="0.3">
      <c r="A97" s="16" t="s">
        <v>270</v>
      </c>
      <c r="B97" s="15">
        <v>45526</v>
      </c>
      <c r="C97" s="16" t="s">
        <v>104</v>
      </c>
      <c r="D97" s="16" t="s">
        <v>105</v>
      </c>
      <c r="E97" s="16" t="s">
        <v>64</v>
      </c>
      <c r="F97" s="16" t="s">
        <v>65</v>
      </c>
      <c r="G97" s="16" t="s">
        <v>66</v>
      </c>
      <c r="H97" s="17">
        <v>5</v>
      </c>
      <c r="I97" s="17">
        <v>149.99</v>
      </c>
      <c r="J97" s="16" t="s">
        <v>49</v>
      </c>
      <c r="K97" s="16" t="s">
        <v>45</v>
      </c>
      <c r="L97" s="16" t="s">
        <v>46</v>
      </c>
      <c r="M97" s="15">
        <v>45310</v>
      </c>
      <c r="N97" s="17">
        <v>749.95</v>
      </c>
    </row>
    <row r="98" spans="1:14" x14ac:dyDescent="0.3">
      <c r="A98" s="16" t="s">
        <v>271</v>
      </c>
      <c r="B98" s="15">
        <v>45528</v>
      </c>
      <c r="C98" s="16" t="s">
        <v>154</v>
      </c>
      <c r="D98" s="16" t="s">
        <v>155</v>
      </c>
      <c r="E98" s="16" t="s">
        <v>112</v>
      </c>
      <c r="F98" s="16" t="s">
        <v>113</v>
      </c>
      <c r="G98" s="16" t="s">
        <v>55</v>
      </c>
      <c r="H98" s="17">
        <v>3</v>
      </c>
      <c r="I98" s="17">
        <v>79.989999999999995</v>
      </c>
      <c r="J98" s="16" t="s">
        <v>44</v>
      </c>
      <c r="K98" s="16" t="s">
        <v>45</v>
      </c>
      <c r="L98" s="16" t="s">
        <v>50</v>
      </c>
      <c r="M98" s="15">
        <v>44779</v>
      </c>
      <c r="N98" s="17">
        <v>239.97</v>
      </c>
    </row>
    <row r="99" spans="1:14" x14ac:dyDescent="0.3">
      <c r="A99" s="16" t="s">
        <v>272</v>
      </c>
      <c r="B99" s="15">
        <v>45528</v>
      </c>
      <c r="C99" s="16" t="s">
        <v>130</v>
      </c>
      <c r="D99" s="16" t="s">
        <v>131</v>
      </c>
      <c r="E99" s="16" t="s">
        <v>41</v>
      </c>
      <c r="F99" s="16" t="s">
        <v>42</v>
      </c>
      <c r="G99" s="16" t="s">
        <v>43</v>
      </c>
      <c r="H99" s="17">
        <v>2</v>
      </c>
      <c r="I99" s="17">
        <v>249.99</v>
      </c>
      <c r="J99" s="16" t="s">
        <v>44</v>
      </c>
      <c r="K99" s="16" t="s">
        <v>57</v>
      </c>
      <c r="L99" s="16" t="s">
        <v>58</v>
      </c>
      <c r="M99" s="15">
        <v>44572</v>
      </c>
      <c r="N99" s="17">
        <v>499.98</v>
      </c>
    </row>
    <row r="100" spans="1:14" x14ac:dyDescent="0.3">
      <c r="A100" s="16" t="s">
        <v>273</v>
      </c>
      <c r="B100" s="15">
        <v>45532</v>
      </c>
      <c r="C100" s="16" t="s">
        <v>150</v>
      </c>
      <c r="D100" s="16" t="s">
        <v>151</v>
      </c>
      <c r="E100" s="16" t="s">
        <v>90</v>
      </c>
      <c r="F100" s="16" t="s">
        <v>91</v>
      </c>
      <c r="G100" s="16" t="s">
        <v>43</v>
      </c>
      <c r="H100" s="17">
        <v>1</v>
      </c>
      <c r="I100" s="17">
        <v>699.99</v>
      </c>
      <c r="J100" s="16" t="s">
        <v>44</v>
      </c>
      <c r="K100" s="16" t="s">
        <v>45</v>
      </c>
      <c r="L100" s="16" t="s">
        <v>50</v>
      </c>
      <c r="M100" s="15">
        <v>44497</v>
      </c>
      <c r="N100" s="17">
        <v>699.99</v>
      </c>
    </row>
    <row r="101" spans="1:14" x14ac:dyDescent="0.3">
      <c r="A101" s="16" t="s">
        <v>274</v>
      </c>
      <c r="B101" s="15">
        <v>45532</v>
      </c>
      <c r="C101" s="16" t="s">
        <v>156</v>
      </c>
      <c r="D101" s="16" t="s">
        <v>157</v>
      </c>
      <c r="E101" s="16" t="s">
        <v>70</v>
      </c>
      <c r="F101" s="16" t="s">
        <v>71</v>
      </c>
      <c r="G101" s="16" t="s">
        <v>43</v>
      </c>
      <c r="H101" s="17">
        <v>3</v>
      </c>
      <c r="I101" s="17">
        <v>149.99</v>
      </c>
      <c r="J101" s="16" t="s">
        <v>44</v>
      </c>
      <c r="K101" s="16" t="s">
        <v>69</v>
      </c>
      <c r="L101" s="16" t="s">
        <v>50</v>
      </c>
      <c r="M101" s="15">
        <v>45212</v>
      </c>
      <c r="N101" s="17">
        <v>449.97</v>
      </c>
    </row>
    <row r="102" spans="1:14" x14ac:dyDescent="0.3">
      <c r="A102" s="16" t="s">
        <v>275</v>
      </c>
      <c r="B102" s="15">
        <v>45534</v>
      </c>
      <c r="C102" s="16" t="s">
        <v>158</v>
      </c>
      <c r="D102" s="16" t="s">
        <v>159</v>
      </c>
      <c r="E102" s="16" t="s">
        <v>90</v>
      </c>
      <c r="F102" s="16" t="s">
        <v>91</v>
      </c>
      <c r="G102" s="16" t="s">
        <v>43</v>
      </c>
      <c r="H102" s="17">
        <v>2</v>
      </c>
      <c r="I102" s="17">
        <v>699.99</v>
      </c>
      <c r="J102" s="16" t="s">
        <v>49</v>
      </c>
      <c r="K102" s="16" t="s">
        <v>61</v>
      </c>
      <c r="L102" s="16" t="s">
        <v>50</v>
      </c>
      <c r="M102" s="15">
        <v>44421</v>
      </c>
      <c r="N102" s="17">
        <v>1399.98</v>
      </c>
    </row>
    <row r="103" spans="1:14" x14ac:dyDescent="0.3">
      <c r="A103" s="16" t="s">
        <v>276</v>
      </c>
      <c r="B103" s="15">
        <v>45537</v>
      </c>
      <c r="C103" s="16" t="s">
        <v>156</v>
      </c>
      <c r="D103" s="16" t="s">
        <v>157</v>
      </c>
      <c r="E103" s="16" t="s">
        <v>41</v>
      </c>
      <c r="F103" s="16" t="s">
        <v>42</v>
      </c>
      <c r="G103" s="16" t="s">
        <v>43</v>
      </c>
      <c r="H103" s="17">
        <v>1</v>
      </c>
      <c r="I103" s="17">
        <v>249.99</v>
      </c>
      <c r="J103" s="16" t="s">
        <v>49</v>
      </c>
      <c r="K103" s="16" t="s">
        <v>69</v>
      </c>
      <c r="L103" s="16" t="s">
        <v>50</v>
      </c>
      <c r="M103" s="15">
        <v>44685</v>
      </c>
      <c r="N103" s="17">
        <v>249.99</v>
      </c>
    </row>
    <row r="104" spans="1:14" x14ac:dyDescent="0.3">
      <c r="A104" s="16" t="s">
        <v>277</v>
      </c>
      <c r="B104" s="15">
        <v>45537</v>
      </c>
      <c r="C104" s="16" t="s">
        <v>39</v>
      </c>
      <c r="D104" s="16" t="s">
        <v>40</v>
      </c>
      <c r="E104" s="16" t="s">
        <v>41</v>
      </c>
      <c r="F104" s="16" t="s">
        <v>42</v>
      </c>
      <c r="G104" s="16" t="s">
        <v>43</v>
      </c>
      <c r="H104" s="17">
        <v>1</v>
      </c>
      <c r="I104" s="17">
        <v>249.99</v>
      </c>
      <c r="J104" s="16" t="s">
        <v>74</v>
      </c>
      <c r="K104" s="16" t="s">
        <v>61</v>
      </c>
      <c r="L104" s="16" t="s">
        <v>50</v>
      </c>
      <c r="M104" s="15">
        <v>45332</v>
      </c>
      <c r="N104" s="17">
        <v>249.99</v>
      </c>
    </row>
    <row r="105" spans="1:14" x14ac:dyDescent="0.3">
      <c r="A105" s="16" t="s">
        <v>278</v>
      </c>
      <c r="B105" s="15">
        <v>45538</v>
      </c>
      <c r="C105" s="16" t="s">
        <v>154</v>
      </c>
      <c r="D105" s="16" t="s">
        <v>155</v>
      </c>
      <c r="E105" s="16" t="s">
        <v>90</v>
      </c>
      <c r="F105" s="16" t="s">
        <v>91</v>
      </c>
      <c r="G105" s="16" t="s">
        <v>43</v>
      </c>
      <c r="H105" s="17">
        <v>2</v>
      </c>
      <c r="I105" s="17">
        <v>699.99</v>
      </c>
      <c r="J105" s="16" t="s">
        <v>74</v>
      </c>
      <c r="K105" s="16" t="s">
        <v>45</v>
      </c>
      <c r="L105" s="16" t="s">
        <v>50</v>
      </c>
      <c r="M105" s="15">
        <v>44870</v>
      </c>
      <c r="N105" s="17">
        <v>1399.98</v>
      </c>
    </row>
    <row r="106" spans="1:14" x14ac:dyDescent="0.3">
      <c r="A106" s="16" t="s">
        <v>279</v>
      </c>
      <c r="B106" s="15">
        <v>45541</v>
      </c>
      <c r="C106" s="16" t="s">
        <v>126</v>
      </c>
      <c r="D106" s="16" t="s">
        <v>127</v>
      </c>
      <c r="E106" s="16" t="s">
        <v>53</v>
      </c>
      <c r="F106" s="16" t="s">
        <v>54</v>
      </c>
      <c r="G106" s="16" t="s">
        <v>55</v>
      </c>
      <c r="H106" s="17">
        <v>3</v>
      </c>
      <c r="I106" s="17">
        <v>59.99</v>
      </c>
      <c r="J106" s="16" t="s">
        <v>49</v>
      </c>
      <c r="K106" s="16" t="s">
        <v>45</v>
      </c>
      <c r="L106" s="16" t="s">
        <v>50</v>
      </c>
      <c r="M106" s="15">
        <v>44717</v>
      </c>
      <c r="N106" s="17">
        <v>179.97</v>
      </c>
    </row>
    <row r="107" spans="1:14" x14ac:dyDescent="0.3">
      <c r="A107" s="16" t="s">
        <v>280</v>
      </c>
      <c r="B107" s="15">
        <v>45544</v>
      </c>
      <c r="C107" s="16" t="s">
        <v>124</v>
      </c>
      <c r="D107" s="16" t="s">
        <v>125</v>
      </c>
      <c r="E107" s="16" t="s">
        <v>53</v>
      </c>
      <c r="F107" s="16" t="s">
        <v>54</v>
      </c>
      <c r="G107" s="16" t="s">
        <v>55</v>
      </c>
      <c r="H107" s="17">
        <v>3</v>
      </c>
      <c r="I107" s="17">
        <v>59.99</v>
      </c>
      <c r="J107" s="16" t="s">
        <v>56</v>
      </c>
      <c r="K107" s="16" t="s">
        <v>79</v>
      </c>
      <c r="L107" s="16" t="s">
        <v>58</v>
      </c>
      <c r="M107" s="15">
        <v>44748</v>
      </c>
      <c r="N107" s="17">
        <v>179.97</v>
      </c>
    </row>
    <row r="108" spans="1:14" x14ac:dyDescent="0.3">
      <c r="A108" s="16" t="s">
        <v>281</v>
      </c>
      <c r="B108" s="15">
        <v>45544</v>
      </c>
      <c r="C108" s="16" t="s">
        <v>128</v>
      </c>
      <c r="D108" s="16" t="s">
        <v>129</v>
      </c>
      <c r="E108" s="16" t="s">
        <v>112</v>
      </c>
      <c r="F108" s="16" t="s">
        <v>113</v>
      </c>
      <c r="G108" s="16" t="s">
        <v>55</v>
      </c>
      <c r="H108" s="17">
        <v>4</v>
      </c>
      <c r="I108" s="17">
        <v>79.989999999999995</v>
      </c>
      <c r="J108" s="16" t="s">
        <v>44</v>
      </c>
      <c r="K108" s="16" t="s">
        <v>61</v>
      </c>
      <c r="L108" s="16" t="s">
        <v>46</v>
      </c>
      <c r="M108" s="15">
        <v>44530</v>
      </c>
      <c r="N108" s="17">
        <v>319.95999999999998</v>
      </c>
    </row>
    <row r="109" spans="1:14" x14ac:dyDescent="0.3">
      <c r="A109" s="16" t="s">
        <v>282</v>
      </c>
      <c r="B109" s="15">
        <v>45545</v>
      </c>
      <c r="C109" s="16" t="s">
        <v>72</v>
      </c>
      <c r="D109" s="16" t="s">
        <v>73</v>
      </c>
      <c r="E109" s="16" t="s">
        <v>112</v>
      </c>
      <c r="F109" s="16" t="s">
        <v>113</v>
      </c>
      <c r="G109" s="16" t="s">
        <v>55</v>
      </c>
      <c r="H109" s="17">
        <v>1</v>
      </c>
      <c r="I109" s="17">
        <v>79.989999999999995</v>
      </c>
      <c r="J109" s="16" t="s">
        <v>44</v>
      </c>
      <c r="K109" s="16" t="s">
        <v>69</v>
      </c>
      <c r="L109" s="16" t="s">
        <v>46</v>
      </c>
      <c r="M109" s="15">
        <v>44693</v>
      </c>
      <c r="N109" s="17">
        <v>79.989999999999995</v>
      </c>
    </row>
    <row r="110" spans="1:14" x14ac:dyDescent="0.3">
      <c r="A110" s="16" t="s">
        <v>283</v>
      </c>
      <c r="B110" s="15">
        <v>45547</v>
      </c>
      <c r="C110" s="16" t="s">
        <v>67</v>
      </c>
      <c r="D110" s="16" t="s">
        <v>68</v>
      </c>
      <c r="E110" s="16" t="s">
        <v>106</v>
      </c>
      <c r="F110" s="16" t="s">
        <v>107</v>
      </c>
      <c r="G110" s="16" t="s">
        <v>66</v>
      </c>
      <c r="H110" s="17">
        <v>3</v>
      </c>
      <c r="I110" s="17">
        <v>299.99</v>
      </c>
      <c r="J110" s="16" t="s">
        <v>49</v>
      </c>
      <c r="K110" s="16" t="s">
        <v>45</v>
      </c>
      <c r="L110" s="16" t="s">
        <v>50</v>
      </c>
      <c r="M110" s="15">
        <v>44494</v>
      </c>
      <c r="N110" s="17">
        <v>899.97</v>
      </c>
    </row>
    <row r="111" spans="1:14" x14ac:dyDescent="0.3">
      <c r="A111" s="16" t="s">
        <v>284</v>
      </c>
      <c r="B111" s="15">
        <v>45548</v>
      </c>
      <c r="C111" s="16" t="s">
        <v>59</v>
      </c>
      <c r="D111" s="16" t="s">
        <v>60</v>
      </c>
      <c r="E111" s="16" t="s">
        <v>114</v>
      </c>
      <c r="F111" s="16" t="s">
        <v>115</v>
      </c>
      <c r="G111" s="16" t="s">
        <v>43</v>
      </c>
      <c r="H111" s="17">
        <v>2</v>
      </c>
      <c r="I111" s="17">
        <v>89.99</v>
      </c>
      <c r="J111" s="16" t="s">
        <v>49</v>
      </c>
      <c r="K111" s="16" t="s">
        <v>57</v>
      </c>
      <c r="L111" s="16" t="s">
        <v>50</v>
      </c>
      <c r="M111" s="15">
        <v>44641</v>
      </c>
      <c r="N111" s="17">
        <v>179.98</v>
      </c>
    </row>
    <row r="112" spans="1:14" x14ac:dyDescent="0.3">
      <c r="A112" s="16" t="s">
        <v>285</v>
      </c>
      <c r="B112" s="15">
        <v>45550</v>
      </c>
      <c r="C112" s="16" t="s">
        <v>160</v>
      </c>
      <c r="D112" s="16" t="s">
        <v>161</v>
      </c>
      <c r="E112" s="16" t="s">
        <v>70</v>
      </c>
      <c r="F112" s="16" t="s">
        <v>71</v>
      </c>
      <c r="G112" s="16" t="s">
        <v>43</v>
      </c>
      <c r="H112" s="17">
        <v>4</v>
      </c>
      <c r="I112" s="17">
        <v>149.99</v>
      </c>
      <c r="J112" s="16" t="s">
        <v>44</v>
      </c>
      <c r="K112" s="16" t="s">
        <v>61</v>
      </c>
      <c r="L112" s="16" t="s">
        <v>46</v>
      </c>
      <c r="M112" s="15">
        <v>44909</v>
      </c>
      <c r="N112" s="17">
        <v>599.96</v>
      </c>
    </row>
    <row r="113" spans="1:14" x14ac:dyDescent="0.3">
      <c r="A113" s="16" t="s">
        <v>286</v>
      </c>
      <c r="B113" s="15">
        <v>45551</v>
      </c>
      <c r="C113" s="16" t="s">
        <v>80</v>
      </c>
      <c r="D113" s="16" t="s">
        <v>81</v>
      </c>
      <c r="E113" s="16" t="s">
        <v>41</v>
      </c>
      <c r="F113" s="16" t="s">
        <v>42</v>
      </c>
      <c r="G113" s="16" t="s">
        <v>43</v>
      </c>
      <c r="H113" s="17">
        <v>2</v>
      </c>
      <c r="I113" s="17">
        <v>249.99</v>
      </c>
      <c r="J113" s="16" t="s">
        <v>56</v>
      </c>
      <c r="K113" s="16" t="s">
        <v>57</v>
      </c>
      <c r="L113" s="16" t="s">
        <v>46</v>
      </c>
      <c r="M113" s="15">
        <v>44993</v>
      </c>
      <c r="N113" s="17">
        <v>499.98</v>
      </c>
    </row>
    <row r="114" spans="1:14" x14ac:dyDescent="0.3">
      <c r="A114" s="16" t="s">
        <v>287</v>
      </c>
      <c r="B114" s="15">
        <v>45551</v>
      </c>
      <c r="C114" s="16" t="s">
        <v>136</v>
      </c>
      <c r="D114" s="16" t="s">
        <v>137</v>
      </c>
      <c r="E114" s="16" t="s">
        <v>120</v>
      </c>
      <c r="F114" s="16" t="s">
        <v>121</v>
      </c>
      <c r="G114" s="16" t="s">
        <v>66</v>
      </c>
      <c r="H114" s="17">
        <v>4</v>
      </c>
      <c r="I114" s="17">
        <v>199.99</v>
      </c>
      <c r="J114" s="16" t="s">
        <v>74</v>
      </c>
      <c r="K114" s="16" t="s">
        <v>79</v>
      </c>
      <c r="L114" s="16" t="s">
        <v>46</v>
      </c>
      <c r="M114" s="15">
        <v>44458</v>
      </c>
      <c r="N114" s="17">
        <v>799.96</v>
      </c>
    </row>
    <row r="115" spans="1:14" x14ac:dyDescent="0.3">
      <c r="A115" s="16" t="s">
        <v>288</v>
      </c>
      <c r="B115" s="15">
        <v>45554</v>
      </c>
      <c r="C115" s="16" t="s">
        <v>132</v>
      </c>
      <c r="D115" s="16" t="s">
        <v>133</v>
      </c>
      <c r="E115" s="16" t="s">
        <v>114</v>
      </c>
      <c r="F115" s="16" t="s">
        <v>115</v>
      </c>
      <c r="G115" s="16" t="s">
        <v>43</v>
      </c>
      <c r="H115" s="17">
        <v>5</v>
      </c>
      <c r="I115" s="17">
        <v>89.99</v>
      </c>
      <c r="J115" s="16" t="s">
        <v>49</v>
      </c>
      <c r="K115" s="16" t="s">
        <v>79</v>
      </c>
      <c r="L115" s="16" t="s">
        <v>50</v>
      </c>
      <c r="M115" s="15">
        <v>44446</v>
      </c>
      <c r="N115" s="17">
        <v>449.95</v>
      </c>
    </row>
    <row r="116" spans="1:14" x14ac:dyDescent="0.3">
      <c r="A116" s="16" t="s">
        <v>289</v>
      </c>
      <c r="B116" s="15">
        <v>45554</v>
      </c>
      <c r="C116" s="16" t="s">
        <v>162</v>
      </c>
      <c r="D116" s="16" t="s">
        <v>163</v>
      </c>
      <c r="E116" s="16" t="s">
        <v>70</v>
      </c>
      <c r="F116" s="16" t="s">
        <v>71</v>
      </c>
      <c r="G116" s="16" t="s">
        <v>43</v>
      </c>
      <c r="H116" s="17">
        <v>1</v>
      </c>
      <c r="I116" s="17">
        <v>149.99</v>
      </c>
      <c r="J116" s="16" t="s">
        <v>56</v>
      </c>
      <c r="K116" s="16" t="s">
        <v>79</v>
      </c>
      <c r="L116" s="16" t="s">
        <v>58</v>
      </c>
      <c r="M116" s="15">
        <v>44482</v>
      </c>
      <c r="N116" s="17">
        <v>149.99</v>
      </c>
    </row>
    <row r="117" spans="1:14" x14ac:dyDescent="0.3">
      <c r="A117" s="16" t="s">
        <v>290</v>
      </c>
      <c r="B117" s="15">
        <v>45554</v>
      </c>
      <c r="C117" s="16" t="s">
        <v>84</v>
      </c>
      <c r="D117" s="16" t="s">
        <v>85</v>
      </c>
      <c r="E117" s="16" t="s">
        <v>90</v>
      </c>
      <c r="F117" s="16" t="s">
        <v>91</v>
      </c>
      <c r="G117" s="16" t="s">
        <v>43</v>
      </c>
      <c r="H117" s="17">
        <v>4</v>
      </c>
      <c r="I117" s="17">
        <v>699.99</v>
      </c>
      <c r="J117" s="16" t="s">
        <v>56</v>
      </c>
      <c r="K117" s="16" t="s">
        <v>57</v>
      </c>
      <c r="L117" s="16" t="s">
        <v>46</v>
      </c>
      <c r="M117" s="15">
        <v>44618</v>
      </c>
      <c r="N117" s="17">
        <v>2799.96</v>
      </c>
    </row>
    <row r="118" spans="1:14" x14ac:dyDescent="0.3">
      <c r="A118" s="16" t="s">
        <v>291</v>
      </c>
      <c r="B118" s="15">
        <v>45559</v>
      </c>
      <c r="C118" s="16" t="s">
        <v>158</v>
      </c>
      <c r="D118" s="16" t="s">
        <v>159</v>
      </c>
      <c r="E118" s="16" t="s">
        <v>77</v>
      </c>
      <c r="F118" s="16" t="s">
        <v>78</v>
      </c>
      <c r="G118" s="16" t="s">
        <v>43</v>
      </c>
      <c r="H118" s="17">
        <v>3</v>
      </c>
      <c r="I118" s="17">
        <v>899.99</v>
      </c>
      <c r="J118" s="16" t="s">
        <v>49</v>
      </c>
      <c r="K118" s="16" t="s">
        <v>61</v>
      </c>
      <c r="L118" s="16" t="s">
        <v>58</v>
      </c>
      <c r="M118" s="15">
        <v>45157</v>
      </c>
      <c r="N118" s="17">
        <v>2699.97</v>
      </c>
    </row>
    <row r="119" spans="1:14" x14ac:dyDescent="0.3">
      <c r="A119" s="16" t="s">
        <v>292</v>
      </c>
      <c r="B119" s="15">
        <v>45560</v>
      </c>
      <c r="C119" s="16" t="s">
        <v>110</v>
      </c>
      <c r="D119" s="16" t="s">
        <v>111</v>
      </c>
      <c r="E119" s="16" t="s">
        <v>64</v>
      </c>
      <c r="F119" s="16" t="s">
        <v>65</v>
      </c>
      <c r="G119" s="16" t="s">
        <v>66</v>
      </c>
      <c r="H119" s="17">
        <v>3</v>
      </c>
      <c r="I119" s="17">
        <v>149.99</v>
      </c>
      <c r="J119" s="16" t="s">
        <v>56</v>
      </c>
      <c r="K119" s="16" t="s">
        <v>79</v>
      </c>
      <c r="L119" s="16" t="s">
        <v>46</v>
      </c>
      <c r="M119" s="15">
        <v>44886</v>
      </c>
      <c r="N119" s="17">
        <v>449.97</v>
      </c>
    </row>
    <row r="120" spans="1:14" x14ac:dyDescent="0.3">
      <c r="A120" s="16" t="s">
        <v>293</v>
      </c>
      <c r="B120" s="15">
        <v>45563</v>
      </c>
      <c r="C120" s="16" t="s">
        <v>102</v>
      </c>
      <c r="D120" s="16" t="s">
        <v>103</v>
      </c>
      <c r="E120" s="16" t="s">
        <v>106</v>
      </c>
      <c r="F120" s="16" t="s">
        <v>107</v>
      </c>
      <c r="G120" s="16" t="s">
        <v>66</v>
      </c>
      <c r="H120" s="17">
        <v>2</v>
      </c>
      <c r="I120" s="17">
        <v>299.99</v>
      </c>
      <c r="J120" s="16" t="s">
        <v>74</v>
      </c>
      <c r="K120" s="16" t="s">
        <v>45</v>
      </c>
      <c r="L120" s="16" t="s">
        <v>46</v>
      </c>
      <c r="M120" s="15">
        <v>44569</v>
      </c>
      <c r="N120" s="17">
        <v>599.98</v>
      </c>
    </row>
    <row r="121" spans="1:14" x14ac:dyDescent="0.3">
      <c r="A121" s="16" t="s">
        <v>294</v>
      </c>
      <c r="B121" s="15">
        <v>45564</v>
      </c>
      <c r="C121" s="16" t="s">
        <v>164</v>
      </c>
      <c r="D121" s="16" t="s">
        <v>165</v>
      </c>
      <c r="E121" s="16" t="s">
        <v>120</v>
      </c>
      <c r="F121" s="16" t="s">
        <v>121</v>
      </c>
      <c r="G121" s="16" t="s">
        <v>66</v>
      </c>
      <c r="H121" s="17">
        <v>1</v>
      </c>
      <c r="I121" s="17">
        <v>199.99</v>
      </c>
      <c r="J121" s="16" t="s">
        <v>74</v>
      </c>
      <c r="K121" s="16" t="s">
        <v>79</v>
      </c>
      <c r="L121" s="16" t="s">
        <v>58</v>
      </c>
      <c r="M121" s="15">
        <v>44953</v>
      </c>
      <c r="N121" s="17">
        <v>199.99</v>
      </c>
    </row>
    <row r="122" spans="1:14" x14ac:dyDescent="0.3">
      <c r="A122" s="16" t="s">
        <v>295</v>
      </c>
      <c r="B122" s="15">
        <v>45566</v>
      </c>
      <c r="C122" s="16" t="s">
        <v>62</v>
      </c>
      <c r="D122" s="16" t="s">
        <v>63</v>
      </c>
      <c r="E122" s="16" t="s">
        <v>106</v>
      </c>
      <c r="F122" s="16" t="s">
        <v>107</v>
      </c>
      <c r="G122" s="16" t="s">
        <v>66</v>
      </c>
      <c r="H122" s="17">
        <v>4</v>
      </c>
      <c r="I122" s="17">
        <v>299.99</v>
      </c>
      <c r="J122" s="16" t="s">
        <v>44</v>
      </c>
      <c r="K122" s="16" t="s">
        <v>45</v>
      </c>
      <c r="L122" s="16" t="s">
        <v>50</v>
      </c>
      <c r="M122" s="15">
        <v>44460</v>
      </c>
      <c r="N122" s="17">
        <v>1199.96</v>
      </c>
    </row>
    <row r="123" spans="1:14" x14ac:dyDescent="0.3">
      <c r="A123" s="16" t="s">
        <v>296</v>
      </c>
      <c r="B123" s="15">
        <v>45572</v>
      </c>
      <c r="C123" s="16" t="s">
        <v>96</v>
      </c>
      <c r="D123" s="16" t="s">
        <v>97</v>
      </c>
      <c r="E123" s="16" t="s">
        <v>53</v>
      </c>
      <c r="F123" s="16" t="s">
        <v>54</v>
      </c>
      <c r="G123" s="16" t="s">
        <v>55</v>
      </c>
      <c r="H123" s="17">
        <v>2</v>
      </c>
      <c r="I123" s="17">
        <v>59.99</v>
      </c>
      <c r="J123" s="16" t="s">
        <v>49</v>
      </c>
      <c r="K123" s="16" t="s">
        <v>45</v>
      </c>
      <c r="L123" s="16" t="s">
        <v>46</v>
      </c>
      <c r="M123" s="15">
        <v>44579</v>
      </c>
      <c r="N123" s="17">
        <v>119.98</v>
      </c>
    </row>
    <row r="124" spans="1:14" x14ac:dyDescent="0.3">
      <c r="A124" s="16" t="s">
        <v>297</v>
      </c>
      <c r="B124" s="15">
        <v>45572</v>
      </c>
      <c r="C124" s="16" t="s">
        <v>158</v>
      </c>
      <c r="D124" s="16" t="s">
        <v>159</v>
      </c>
      <c r="E124" s="16" t="s">
        <v>70</v>
      </c>
      <c r="F124" s="16" t="s">
        <v>71</v>
      </c>
      <c r="G124" s="16" t="s">
        <v>43</v>
      </c>
      <c r="H124" s="17">
        <v>4</v>
      </c>
      <c r="I124" s="17">
        <v>149.99</v>
      </c>
      <c r="J124" s="16" t="s">
        <v>49</v>
      </c>
      <c r="K124" s="16" t="s">
        <v>61</v>
      </c>
      <c r="L124" s="16" t="s">
        <v>50</v>
      </c>
      <c r="M124" s="15">
        <v>45076</v>
      </c>
      <c r="N124" s="17">
        <v>599.96</v>
      </c>
    </row>
    <row r="125" spans="1:14" x14ac:dyDescent="0.3">
      <c r="A125" s="16" t="s">
        <v>298</v>
      </c>
      <c r="B125" s="15">
        <v>45573</v>
      </c>
      <c r="C125" s="16" t="s">
        <v>152</v>
      </c>
      <c r="D125" s="16" t="s">
        <v>153</v>
      </c>
      <c r="E125" s="16" t="s">
        <v>90</v>
      </c>
      <c r="F125" s="16" t="s">
        <v>91</v>
      </c>
      <c r="G125" s="16" t="s">
        <v>43</v>
      </c>
      <c r="H125" s="17">
        <v>2</v>
      </c>
      <c r="I125" s="17">
        <v>699.99</v>
      </c>
      <c r="J125" s="16" t="s">
        <v>74</v>
      </c>
      <c r="K125" s="16" t="s">
        <v>79</v>
      </c>
      <c r="L125" s="16" t="s">
        <v>50</v>
      </c>
      <c r="M125" s="15">
        <v>45274</v>
      </c>
      <c r="N125" s="17">
        <v>1399.98</v>
      </c>
    </row>
    <row r="126" spans="1:14" x14ac:dyDescent="0.3">
      <c r="A126" s="16" t="s">
        <v>299</v>
      </c>
      <c r="B126" s="15">
        <v>45573</v>
      </c>
      <c r="C126" s="16" t="s">
        <v>156</v>
      </c>
      <c r="D126" s="16" t="s">
        <v>157</v>
      </c>
      <c r="E126" s="16" t="s">
        <v>64</v>
      </c>
      <c r="F126" s="16" t="s">
        <v>65</v>
      </c>
      <c r="G126" s="16" t="s">
        <v>66</v>
      </c>
      <c r="H126" s="17">
        <v>3</v>
      </c>
      <c r="I126" s="17">
        <v>149.99</v>
      </c>
      <c r="J126" s="16" t="s">
        <v>49</v>
      </c>
      <c r="K126" s="16" t="s">
        <v>57</v>
      </c>
      <c r="L126" s="16" t="s">
        <v>58</v>
      </c>
      <c r="M126" s="15">
        <v>44940</v>
      </c>
      <c r="N126" s="17">
        <v>449.97</v>
      </c>
    </row>
    <row r="127" spans="1:14" x14ac:dyDescent="0.3">
      <c r="A127" s="16" t="s">
        <v>300</v>
      </c>
      <c r="B127" s="15">
        <v>45576</v>
      </c>
      <c r="C127" s="16" t="s">
        <v>132</v>
      </c>
      <c r="D127" s="16" t="s">
        <v>133</v>
      </c>
      <c r="E127" s="16" t="s">
        <v>106</v>
      </c>
      <c r="F127" s="16" t="s">
        <v>107</v>
      </c>
      <c r="G127" s="16" t="s">
        <v>66</v>
      </c>
      <c r="H127" s="17">
        <v>3</v>
      </c>
      <c r="I127" s="17">
        <v>299.99</v>
      </c>
      <c r="J127" s="16" t="s">
        <v>49</v>
      </c>
      <c r="K127" s="16" t="s">
        <v>45</v>
      </c>
      <c r="L127" s="16" t="s">
        <v>58</v>
      </c>
      <c r="M127" s="15">
        <v>45174</v>
      </c>
      <c r="N127" s="17">
        <v>899.97</v>
      </c>
    </row>
    <row r="128" spans="1:14" x14ac:dyDescent="0.3">
      <c r="A128" s="16" t="s">
        <v>301</v>
      </c>
      <c r="B128" s="15">
        <v>45579</v>
      </c>
      <c r="C128" s="16" t="s">
        <v>92</v>
      </c>
      <c r="D128" s="16" t="s">
        <v>93</v>
      </c>
      <c r="E128" s="16" t="s">
        <v>77</v>
      </c>
      <c r="F128" s="16" t="s">
        <v>78</v>
      </c>
      <c r="G128" s="16" t="s">
        <v>43</v>
      </c>
      <c r="H128" s="17">
        <v>3</v>
      </c>
      <c r="I128" s="17">
        <v>899.99</v>
      </c>
      <c r="J128" s="16" t="s">
        <v>56</v>
      </c>
      <c r="K128" s="16" t="s">
        <v>69</v>
      </c>
      <c r="L128" s="16" t="s">
        <v>46</v>
      </c>
      <c r="M128" s="15">
        <v>45215</v>
      </c>
      <c r="N128" s="17">
        <v>2699.97</v>
      </c>
    </row>
    <row r="129" spans="1:14" x14ac:dyDescent="0.3">
      <c r="A129" s="16" t="s">
        <v>302</v>
      </c>
      <c r="B129" s="15">
        <v>45581</v>
      </c>
      <c r="C129" s="16" t="s">
        <v>100</v>
      </c>
      <c r="D129" s="16" t="s">
        <v>101</v>
      </c>
      <c r="E129" s="16" t="s">
        <v>90</v>
      </c>
      <c r="F129" s="16" t="s">
        <v>91</v>
      </c>
      <c r="G129" s="16" t="s">
        <v>43</v>
      </c>
      <c r="H129" s="17">
        <v>5</v>
      </c>
      <c r="I129" s="17">
        <v>699.99</v>
      </c>
      <c r="J129" s="16" t="s">
        <v>44</v>
      </c>
      <c r="K129" s="16" t="s">
        <v>79</v>
      </c>
      <c r="L129" s="16" t="s">
        <v>58</v>
      </c>
      <c r="M129" s="15">
        <v>45008</v>
      </c>
      <c r="N129" s="17">
        <v>3499.95</v>
      </c>
    </row>
    <row r="130" spans="1:14" x14ac:dyDescent="0.3">
      <c r="A130" s="16" t="s">
        <v>303</v>
      </c>
      <c r="B130" s="15">
        <v>45581</v>
      </c>
      <c r="C130" s="16" t="s">
        <v>142</v>
      </c>
      <c r="D130" s="16" t="s">
        <v>143</v>
      </c>
      <c r="E130" s="16" t="s">
        <v>90</v>
      </c>
      <c r="F130" s="16" t="s">
        <v>91</v>
      </c>
      <c r="G130" s="16" t="s">
        <v>43</v>
      </c>
      <c r="H130" s="17">
        <v>4</v>
      </c>
      <c r="I130" s="17">
        <v>699.99</v>
      </c>
      <c r="J130" s="16" t="s">
        <v>49</v>
      </c>
      <c r="K130" s="16" t="s">
        <v>45</v>
      </c>
      <c r="L130" s="16" t="s">
        <v>46</v>
      </c>
      <c r="M130" s="15">
        <v>45385</v>
      </c>
      <c r="N130" s="17">
        <v>2799.96</v>
      </c>
    </row>
    <row r="131" spans="1:14" x14ac:dyDescent="0.3">
      <c r="A131" s="16" t="s">
        <v>304</v>
      </c>
      <c r="B131" s="15">
        <v>45581</v>
      </c>
      <c r="C131" s="16" t="s">
        <v>134</v>
      </c>
      <c r="D131" s="16" t="s">
        <v>135</v>
      </c>
      <c r="E131" s="16" t="s">
        <v>77</v>
      </c>
      <c r="F131" s="16" t="s">
        <v>78</v>
      </c>
      <c r="G131" s="16" t="s">
        <v>43</v>
      </c>
      <c r="H131" s="17">
        <v>1</v>
      </c>
      <c r="I131" s="17">
        <v>899.99</v>
      </c>
      <c r="J131" s="16" t="s">
        <v>49</v>
      </c>
      <c r="K131" s="16" t="s">
        <v>79</v>
      </c>
      <c r="L131" s="16" t="s">
        <v>58</v>
      </c>
      <c r="M131" s="15">
        <v>45369</v>
      </c>
      <c r="N131" s="17">
        <v>899.99</v>
      </c>
    </row>
    <row r="132" spans="1:14" x14ac:dyDescent="0.3">
      <c r="A132" s="16" t="s">
        <v>305</v>
      </c>
      <c r="B132" s="15">
        <v>45583</v>
      </c>
      <c r="C132" s="16" t="s">
        <v>154</v>
      </c>
      <c r="D132" s="16" t="s">
        <v>155</v>
      </c>
      <c r="E132" s="16" t="s">
        <v>70</v>
      </c>
      <c r="F132" s="16" t="s">
        <v>71</v>
      </c>
      <c r="G132" s="16" t="s">
        <v>43</v>
      </c>
      <c r="H132" s="17">
        <v>2</v>
      </c>
      <c r="I132" s="17">
        <v>149.99</v>
      </c>
      <c r="J132" s="16" t="s">
        <v>49</v>
      </c>
      <c r="K132" s="16" t="s">
        <v>69</v>
      </c>
      <c r="L132" s="16" t="s">
        <v>46</v>
      </c>
      <c r="M132" s="15">
        <v>44916</v>
      </c>
      <c r="N132" s="17">
        <v>299.98</v>
      </c>
    </row>
    <row r="133" spans="1:14" x14ac:dyDescent="0.3">
      <c r="A133" s="16" t="s">
        <v>306</v>
      </c>
      <c r="B133" s="15">
        <v>45586</v>
      </c>
      <c r="C133" s="16" t="s">
        <v>154</v>
      </c>
      <c r="D133" s="16" t="s">
        <v>155</v>
      </c>
      <c r="E133" s="16" t="s">
        <v>114</v>
      </c>
      <c r="F133" s="16" t="s">
        <v>115</v>
      </c>
      <c r="G133" s="16" t="s">
        <v>43</v>
      </c>
      <c r="H133" s="17">
        <v>3</v>
      </c>
      <c r="I133" s="17">
        <v>89.99</v>
      </c>
      <c r="J133" s="16" t="s">
        <v>56</v>
      </c>
      <c r="K133" s="16" t="s">
        <v>45</v>
      </c>
      <c r="L133" s="16" t="s">
        <v>46</v>
      </c>
      <c r="M133" s="15">
        <v>44551</v>
      </c>
      <c r="N133" s="17">
        <v>269.97000000000003</v>
      </c>
    </row>
    <row r="134" spans="1:14" x14ac:dyDescent="0.3">
      <c r="A134" s="16" t="s">
        <v>307</v>
      </c>
      <c r="B134" s="15">
        <v>45588</v>
      </c>
      <c r="C134" s="16" t="s">
        <v>59</v>
      </c>
      <c r="D134" s="16" t="s">
        <v>60</v>
      </c>
      <c r="E134" s="16" t="s">
        <v>70</v>
      </c>
      <c r="F134" s="16" t="s">
        <v>71</v>
      </c>
      <c r="G134" s="16" t="s">
        <v>43</v>
      </c>
      <c r="H134" s="17">
        <v>2</v>
      </c>
      <c r="I134" s="17">
        <v>149.99</v>
      </c>
      <c r="J134" s="16" t="s">
        <v>56</v>
      </c>
      <c r="K134" s="16" t="s">
        <v>45</v>
      </c>
      <c r="L134" s="16" t="s">
        <v>46</v>
      </c>
      <c r="M134" s="15">
        <v>44473</v>
      </c>
      <c r="N134" s="17">
        <v>299.98</v>
      </c>
    </row>
    <row r="135" spans="1:14" x14ac:dyDescent="0.3">
      <c r="A135" s="16" t="s">
        <v>308</v>
      </c>
      <c r="B135" s="15">
        <v>45588</v>
      </c>
      <c r="C135" s="16" t="s">
        <v>136</v>
      </c>
      <c r="D135" s="16" t="s">
        <v>137</v>
      </c>
      <c r="E135" s="16" t="s">
        <v>90</v>
      </c>
      <c r="F135" s="16" t="s">
        <v>91</v>
      </c>
      <c r="G135" s="16" t="s">
        <v>43</v>
      </c>
      <c r="H135" s="17">
        <v>2</v>
      </c>
      <c r="I135" s="17">
        <v>699.99</v>
      </c>
      <c r="J135" s="16" t="s">
        <v>44</v>
      </c>
      <c r="K135" s="16" t="s">
        <v>45</v>
      </c>
      <c r="L135" s="16" t="s">
        <v>46</v>
      </c>
      <c r="M135" s="15">
        <v>44992</v>
      </c>
      <c r="N135" s="17">
        <v>1399.98</v>
      </c>
    </row>
    <row r="136" spans="1:14" x14ac:dyDescent="0.3">
      <c r="A136" s="16" t="s">
        <v>309</v>
      </c>
      <c r="B136" s="15">
        <v>45589</v>
      </c>
      <c r="C136" s="16" t="s">
        <v>138</v>
      </c>
      <c r="D136" s="16" t="s">
        <v>139</v>
      </c>
      <c r="E136" s="16" t="s">
        <v>90</v>
      </c>
      <c r="F136" s="16" t="s">
        <v>91</v>
      </c>
      <c r="G136" s="16" t="s">
        <v>43</v>
      </c>
      <c r="H136" s="17">
        <v>5</v>
      </c>
      <c r="I136" s="17">
        <v>699.99</v>
      </c>
      <c r="J136" s="16" t="s">
        <v>44</v>
      </c>
      <c r="K136" s="16" t="s">
        <v>61</v>
      </c>
      <c r="L136" s="16" t="s">
        <v>50</v>
      </c>
      <c r="M136" s="15">
        <v>44635</v>
      </c>
      <c r="N136" s="17">
        <v>3499.95</v>
      </c>
    </row>
    <row r="137" spans="1:14" x14ac:dyDescent="0.3">
      <c r="A137" s="16" t="s">
        <v>310</v>
      </c>
      <c r="B137" s="15">
        <v>45592</v>
      </c>
      <c r="C137" s="16" t="s">
        <v>142</v>
      </c>
      <c r="D137" s="16" t="s">
        <v>143</v>
      </c>
      <c r="E137" s="16" t="s">
        <v>114</v>
      </c>
      <c r="F137" s="16" t="s">
        <v>115</v>
      </c>
      <c r="G137" s="16" t="s">
        <v>43</v>
      </c>
      <c r="H137" s="17">
        <v>3</v>
      </c>
      <c r="I137" s="17">
        <v>89.99</v>
      </c>
      <c r="J137" s="16" t="s">
        <v>49</v>
      </c>
      <c r="K137" s="16" t="s">
        <v>61</v>
      </c>
      <c r="L137" s="16" t="s">
        <v>58</v>
      </c>
      <c r="M137" s="15">
        <v>44615</v>
      </c>
      <c r="N137" s="17">
        <v>269.97000000000003</v>
      </c>
    </row>
    <row r="138" spans="1:14" x14ac:dyDescent="0.3">
      <c r="A138" s="16" t="s">
        <v>311</v>
      </c>
      <c r="B138" s="15">
        <v>45597</v>
      </c>
      <c r="C138" s="16" t="s">
        <v>39</v>
      </c>
      <c r="D138" s="16" t="s">
        <v>40</v>
      </c>
      <c r="E138" s="16" t="s">
        <v>41</v>
      </c>
      <c r="F138" s="16" t="s">
        <v>42</v>
      </c>
      <c r="G138" s="16" t="s">
        <v>43</v>
      </c>
      <c r="H138" s="17">
        <v>5</v>
      </c>
      <c r="I138" s="17">
        <v>249.99</v>
      </c>
      <c r="J138" s="16" t="s">
        <v>49</v>
      </c>
      <c r="K138" s="16" t="s">
        <v>57</v>
      </c>
      <c r="L138" s="16" t="s">
        <v>58</v>
      </c>
      <c r="M138" s="15">
        <v>44881</v>
      </c>
      <c r="N138" s="17">
        <v>1249.95</v>
      </c>
    </row>
    <row r="139" spans="1:14" x14ac:dyDescent="0.3">
      <c r="A139" s="16" t="s">
        <v>312</v>
      </c>
      <c r="B139" s="15">
        <v>45600</v>
      </c>
      <c r="C139" s="16" t="s">
        <v>80</v>
      </c>
      <c r="D139" s="16" t="s">
        <v>81</v>
      </c>
      <c r="E139" s="16" t="s">
        <v>106</v>
      </c>
      <c r="F139" s="16" t="s">
        <v>107</v>
      </c>
      <c r="G139" s="16" t="s">
        <v>66</v>
      </c>
      <c r="H139" s="17">
        <v>3</v>
      </c>
      <c r="I139" s="17">
        <v>299.99</v>
      </c>
      <c r="J139" s="16" t="s">
        <v>49</v>
      </c>
      <c r="K139" s="16" t="s">
        <v>57</v>
      </c>
      <c r="L139" s="16" t="s">
        <v>58</v>
      </c>
      <c r="M139" s="15">
        <v>44502</v>
      </c>
      <c r="N139" s="17">
        <v>899.97</v>
      </c>
    </row>
    <row r="140" spans="1:14" x14ac:dyDescent="0.3">
      <c r="A140" s="16" t="s">
        <v>313</v>
      </c>
      <c r="B140" s="15">
        <v>45603</v>
      </c>
      <c r="C140" s="16" t="s">
        <v>102</v>
      </c>
      <c r="D140" s="16" t="s">
        <v>103</v>
      </c>
      <c r="E140" s="16" t="s">
        <v>114</v>
      </c>
      <c r="F140" s="16" t="s">
        <v>115</v>
      </c>
      <c r="G140" s="16" t="s">
        <v>43</v>
      </c>
      <c r="H140" s="17">
        <v>3</v>
      </c>
      <c r="I140" s="17">
        <v>89.99</v>
      </c>
      <c r="J140" s="16" t="s">
        <v>49</v>
      </c>
      <c r="K140" s="16" t="s">
        <v>61</v>
      </c>
      <c r="L140" s="16" t="s">
        <v>50</v>
      </c>
      <c r="M140" s="15">
        <v>44420</v>
      </c>
      <c r="N140" s="17">
        <v>269.97000000000003</v>
      </c>
    </row>
    <row r="141" spans="1:14" x14ac:dyDescent="0.3">
      <c r="A141" s="16" t="s">
        <v>314</v>
      </c>
      <c r="B141" s="15">
        <v>45604</v>
      </c>
      <c r="C141" s="16" t="s">
        <v>96</v>
      </c>
      <c r="D141" s="16" t="s">
        <v>97</v>
      </c>
      <c r="E141" s="16" t="s">
        <v>64</v>
      </c>
      <c r="F141" s="16" t="s">
        <v>65</v>
      </c>
      <c r="G141" s="16" t="s">
        <v>66</v>
      </c>
      <c r="H141" s="17">
        <v>2</v>
      </c>
      <c r="I141" s="17">
        <v>149.99</v>
      </c>
      <c r="J141" s="16" t="s">
        <v>49</v>
      </c>
      <c r="K141" s="16" t="s">
        <v>69</v>
      </c>
      <c r="L141" s="16" t="s">
        <v>50</v>
      </c>
      <c r="M141" s="15">
        <v>44848</v>
      </c>
      <c r="N141" s="17">
        <v>299.98</v>
      </c>
    </row>
    <row r="142" spans="1:14" x14ac:dyDescent="0.3">
      <c r="A142" s="16" t="s">
        <v>315</v>
      </c>
      <c r="B142" s="15">
        <v>45605</v>
      </c>
      <c r="C142" s="16" t="s">
        <v>146</v>
      </c>
      <c r="D142" s="16" t="s">
        <v>147</v>
      </c>
      <c r="E142" s="16" t="s">
        <v>41</v>
      </c>
      <c r="F142" s="16" t="s">
        <v>42</v>
      </c>
      <c r="G142" s="16" t="s">
        <v>43</v>
      </c>
      <c r="H142" s="17">
        <v>1</v>
      </c>
      <c r="I142" s="17">
        <v>249.99</v>
      </c>
      <c r="J142" s="16" t="s">
        <v>49</v>
      </c>
      <c r="K142" s="16" t="s">
        <v>61</v>
      </c>
      <c r="L142" s="16" t="s">
        <v>50</v>
      </c>
      <c r="M142" s="15">
        <v>44828</v>
      </c>
      <c r="N142" s="17">
        <v>249.99</v>
      </c>
    </row>
    <row r="143" spans="1:14" x14ac:dyDescent="0.3">
      <c r="A143" s="16" t="s">
        <v>316</v>
      </c>
      <c r="B143" s="15">
        <v>45607</v>
      </c>
      <c r="C143" s="16" t="s">
        <v>84</v>
      </c>
      <c r="D143" s="16" t="s">
        <v>85</v>
      </c>
      <c r="E143" s="16" t="s">
        <v>70</v>
      </c>
      <c r="F143" s="16" t="s">
        <v>71</v>
      </c>
      <c r="G143" s="16" t="s">
        <v>43</v>
      </c>
      <c r="H143" s="17">
        <v>3</v>
      </c>
      <c r="I143" s="17">
        <v>149.99</v>
      </c>
      <c r="J143" s="16" t="s">
        <v>44</v>
      </c>
      <c r="K143" s="16" t="s">
        <v>61</v>
      </c>
      <c r="L143" s="16" t="s">
        <v>46</v>
      </c>
      <c r="M143" s="15">
        <v>44769</v>
      </c>
      <c r="N143" s="17">
        <v>449.97</v>
      </c>
    </row>
    <row r="144" spans="1:14" x14ac:dyDescent="0.3">
      <c r="A144" s="16" t="s">
        <v>317</v>
      </c>
      <c r="B144" s="15">
        <v>45607</v>
      </c>
      <c r="C144" s="16" t="s">
        <v>39</v>
      </c>
      <c r="D144" s="16" t="s">
        <v>40</v>
      </c>
      <c r="E144" s="16" t="s">
        <v>53</v>
      </c>
      <c r="F144" s="16" t="s">
        <v>54</v>
      </c>
      <c r="G144" s="16" t="s">
        <v>55</v>
      </c>
      <c r="H144" s="17">
        <v>5</v>
      </c>
      <c r="I144" s="17">
        <v>59.99</v>
      </c>
      <c r="J144" s="16" t="s">
        <v>56</v>
      </c>
      <c r="K144" s="16" t="s">
        <v>69</v>
      </c>
      <c r="L144" s="16" t="s">
        <v>50</v>
      </c>
      <c r="M144" s="15">
        <v>44694</v>
      </c>
      <c r="N144" s="17">
        <v>299.95</v>
      </c>
    </row>
    <row r="145" spans="1:14" x14ac:dyDescent="0.3">
      <c r="A145" s="16" t="s">
        <v>318</v>
      </c>
      <c r="B145" s="15">
        <v>45607</v>
      </c>
      <c r="C145" s="16" t="s">
        <v>102</v>
      </c>
      <c r="D145" s="16" t="s">
        <v>103</v>
      </c>
      <c r="E145" s="16" t="s">
        <v>41</v>
      </c>
      <c r="F145" s="16" t="s">
        <v>42</v>
      </c>
      <c r="G145" s="16" t="s">
        <v>43</v>
      </c>
      <c r="H145" s="17">
        <v>4</v>
      </c>
      <c r="I145" s="17">
        <v>249.99</v>
      </c>
      <c r="J145" s="16" t="s">
        <v>49</v>
      </c>
      <c r="K145" s="16" t="s">
        <v>69</v>
      </c>
      <c r="L145" s="16" t="s">
        <v>58</v>
      </c>
      <c r="M145" s="15">
        <v>44659</v>
      </c>
      <c r="N145" s="17">
        <v>999.96</v>
      </c>
    </row>
    <row r="146" spans="1:14" x14ac:dyDescent="0.3">
      <c r="A146" s="16" t="s">
        <v>319</v>
      </c>
      <c r="B146" s="15">
        <v>45608</v>
      </c>
      <c r="C146" s="16" t="s">
        <v>136</v>
      </c>
      <c r="D146" s="16" t="s">
        <v>137</v>
      </c>
      <c r="E146" s="16" t="s">
        <v>64</v>
      </c>
      <c r="F146" s="16" t="s">
        <v>65</v>
      </c>
      <c r="G146" s="16" t="s">
        <v>66</v>
      </c>
      <c r="H146" s="17">
        <v>5</v>
      </c>
      <c r="I146" s="17">
        <v>149.99</v>
      </c>
      <c r="J146" s="16" t="s">
        <v>56</v>
      </c>
      <c r="K146" s="16" t="s">
        <v>45</v>
      </c>
      <c r="L146" s="16" t="s">
        <v>46</v>
      </c>
      <c r="M146" s="15">
        <v>44901</v>
      </c>
      <c r="N146" s="17">
        <v>749.95</v>
      </c>
    </row>
    <row r="147" spans="1:14" x14ac:dyDescent="0.3">
      <c r="A147" s="16" t="s">
        <v>320</v>
      </c>
      <c r="B147" s="15">
        <v>45608</v>
      </c>
      <c r="C147" s="16" t="s">
        <v>92</v>
      </c>
      <c r="D147" s="16" t="s">
        <v>93</v>
      </c>
      <c r="E147" s="16" t="s">
        <v>53</v>
      </c>
      <c r="F147" s="16" t="s">
        <v>54</v>
      </c>
      <c r="G147" s="16" t="s">
        <v>55</v>
      </c>
      <c r="H147" s="17">
        <v>3</v>
      </c>
      <c r="I147" s="17">
        <v>59.99</v>
      </c>
      <c r="J147" s="16" t="s">
        <v>74</v>
      </c>
      <c r="K147" s="16" t="s">
        <v>57</v>
      </c>
      <c r="L147" s="16" t="s">
        <v>58</v>
      </c>
      <c r="M147" s="15">
        <v>45260</v>
      </c>
      <c r="N147" s="17">
        <v>179.97</v>
      </c>
    </row>
    <row r="148" spans="1:14" x14ac:dyDescent="0.3">
      <c r="A148" s="16" t="s">
        <v>321</v>
      </c>
      <c r="B148" s="15">
        <v>45613</v>
      </c>
      <c r="C148" s="16" t="s">
        <v>158</v>
      </c>
      <c r="D148" s="16" t="s">
        <v>159</v>
      </c>
      <c r="E148" s="16" t="s">
        <v>64</v>
      </c>
      <c r="F148" s="16" t="s">
        <v>65</v>
      </c>
      <c r="G148" s="16" t="s">
        <v>66</v>
      </c>
      <c r="H148" s="17">
        <v>5</v>
      </c>
      <c r="I148" s="17">
        <v>149.99</v>
      </c>
      <c r="J148" s="16" t="s">
        <v>44</v>
      </c>
      <c r="K148" s="16" t="s">
        <v>61</v>
      </c>
      <c r="L148" s="16" t="s">
        <v>46</v>
      </c>
      <c r="M148" s="15">
        <v>44869</v>
      </c>
      <c r="N148" s="17">
        <v>749.95</v>
      </c>
    </row>
    <row r="149" spans="1:14" x14ac:dyDescent="0.3">
      <c r="A149" s="16" t="s">
        <v>322</v>
      </c>
      <c r="B149" s="15">
        <v>45613</v>
      </c>
      <c r="C149" s="16" t="s">
        <v>94</v>
      </c>
      <c r="D149" s="16" t="s">
        <v>95</v>
      </c>
      <c r="E149" s="16" t="s">
        <v>90</v>
      </c>
      <c r="F149" s="16" t="s">
        <v>91</v>
      </c>
      <c r="G149" s="16" t="s">
        <v>43</v>
      </c>
      <c r="H149" s="17">
        <v>2</v>
      </c>
      <c r="I149" s="17">
        <v>699.99</v>
      </c>
      <c r="J149" s="16" t="s">
        <v>56</v>
      </c>
      <c r="K149" s="16" t="s">
        <v>69</v>
      </c>
      <c r="L149" s="16" t="s">
        <v>58</v>
      </c>
      <c r="M149" s="15">
        <v>44770</v>
      </c>
      <c r="N149" s="17">
        <v>1399.98</v>
      </c>
    </row>
    <row r="150" spans="1:14" x14ac:dyDescent="0.3">
      <c r="A150" s="16" t="s">
        <v>323</v>
      </c>
      <c r="B150" s="15">
        <v>45617</v>
      </c>
      <c r="C150" s="16" t="s">
        <v>118</v>
      </c>
      <c r="D150" s="16" t="s">
        <v>119</v>
      </c>
      <c r="E150" s="16" t="s">
        <v>120</v>
      </c>
      <c r="F150" s="16" t="s">
        <v>121</v>
      </c>
      <c r="G150" s="16" t="s">
        <v>66</v>
      </c>
      <c r="H150" s="17">
        <v>4</v>
      </c>
      <c r="I150" s="17">
        <v>199.99</v>
      </c>
      <c r="J150" s="16" t="s">
        <v>74</v>
      </c>
      <c r="K150" s="16" t="s">
        <v>45</v>
      </c>
      <c r="L150" s="16" t="s">
        <v>50</v>
      </c>
      <c r="M150" s="15">
        <v>44427</v>
      </c>
      <c r="N150" s="17">
        <v>799.96</v>
      </c>
    </row>
    <row r="151" spans="1:14" x14ac:dyDescent="0.3">
      <c r="A151" s="16" t="s">
        <v>324</v>
      </c>
      <c r="B151" s="15">
        <v>45619</v>
      </c>
      <c r="C151" s="16" t="s">
        <v>148</v>
      </c>
      <c r="D151" s="16" t="s">
        <v>149</v>
      </c>
      <c r="E151" s="16" t="s">
        <v>53</v>
      </c>
      <c r="F151" s="16" t="s">
        <v>54</v>
      </c>
      <c r="G151" s="16" t="s">
        <v>55</v>
      </c>
      <c r="H151" s="17">
        <v>1</v>
      </c>
      <c r="I151" s="17">
        <v>59.99</v>
      </c>
      <c r="J151" s="16" t="s">
        <v>74</v>
      </c>
      <c r="K151" s="16" t="s">
        <v>69</v>
      </c>
      <c r="L151" s="16" t="s">
        <v>58</v>
      </c>
      <c r="M151" s="15">
        <v>44560</v>
      </c>
      <c r="N151" s="17">
        <v>59.99</v>
      </c>
    </row>
    <row r="152" spans="1:14" x14ac:dyDescent="0.3">
      <c r="A152" s="16" t="s">
        <v>325</v>
      </c>
      <c r="B152" s="15">
        <v>45619</v>
      </c>
      <c r="C152" s="16" t="s">
        <v>136</v>
      </c>
      <c r="D152" s="16" t="s">
        <v>137</v>
      </c>
      <c r="E152" s="16" t="s">
        <v>90</v>
      </c>
      <c r="F152" s="16" t="s">
        <v>91</v>
      </c>
      <c r="G152" s="16" t="s">
        <v>43</v>
      </c>
      <c r="H152" s="17">
        <v>3</v>
      </c>
      <c r="I152" s="17">
        <v>699.99</v>
      </c>
      <c r="J152" s="16" t="s">
        <v>56</v>
      </c>
      <c r="K152" s="16" t="s">
        <v>69</v>
      </c>
      <c r="L152" s="16" t="s">
        <v>58</v>
      </c>
      <c r="M152" s="15">
        <v>44583</v>
      </c>
      <c r="N152" s="17">
        <v>2099.9699999999998</v>
      </c>
    </row>
    <row r="153" spans="1:14" x14ac:dyDescent="0.3">
      <c r="A153" s="16" t="s">
        <v>326</v>
      </c>
      <c r="B153" s="15">
        <v>45622</v>
      </c>
      <c r="C153" s="16" t="s">
        <v>166</v>
      </c>
      <c r="D153" s="16" t="s">
        <v>167</v>
      </c>
      <c r="E153" s="16" t="s">
        <v>41</v>
      </c>
      <c r="F153" s="16" t="s">
        <v>42</v>
      </c>
      <c r="G153" s="16" t="s">
        <v>43</v>
      </c>
      <c r="H153" s="17">
        <v>5</v>
      </c>
      <c r="I153" s="17">
        <v>249.99</v>
      </c>
      <c r="J153" s="16" t="s">
        <v>49</v>
      </c>
      <c r="K153" s="16" t="s">
        <v>61</v>
      </c>
      <c r="L153" s="16" t="s">
        <v>46</v>
      </c>
      <c r="M153" s="15">
        <v>44873</v>
      </c>
      <c r="N153" s="17">
        <v>1249.95</v>
      </c>
    </row>
    <row r="154" spans="1:14" x14ac:dyDescent="0.3">
      <c r="A154" s="16" t="s">
        <v>327</v>
      </c>
      <c r="B154" s="15">
        <v>45623</v>
      </c>
      <c r="C154" s="16" t="s">
        <v>110</v>
      </c>
      <c r="D154" s="16" t="s">
        <v>111</v>
      </c>
      <c r="E154" s="16" t="s">
        <v>64</v>
      </c>
      <c r="F154" s="16" t="s">
        <v>65</v>
      </c>
      <c r="G154" s="16" t="s">
        <v>66</v>
      </c>
      <c r="H154" s="17">
        <v>2</v>
      </c>
      <c r="I154" s="17">
        <v>149.99</v>
      </c>
      <c r="J154" s="16" t="s">
        <v>44</v>
      </c>
      <c r="K154" s="16" t="s">
        <v>57</v>
      </c>
      <c r="L154" s="16" t="s">
        <v>58</v>
      </c>
      <c r="M154" s="15">
        <v>45101</v>
      </c>
      <c r="N154" s="17">
        <v>299.98</v>
      </c>
    </row>
    <row r="155" spans="1:14" x14ac:dyDescent="0.3">
      <c r="A155" s="16" t="s">
        <v>328</v>
      </c>
      <c r="B155" s="15">
        <v>45627</v>
      </c>
      <c r="C155" s="16" t="s">
        <v>51</v>
      </c>
      <c r="D155" s="16" t="s">
        <v>52</v>
      </c>
      <c r="E155" s="16" t="s">
        <v>106</v>
      </c>
      <c r="F155" s="16" t="s">
        <v>107</v>
      </c>
      <c r="G155" s="16" t="s">
        <v>66</v>
      </c>
      <c r="H155" s="17">
        <v>3</v>
      </c>
      <c r="I155" s="17">
        <v>299.99</v>
      </c>
      <c r="J155" s="16" t="s">
        <v>44</v>
      </c>
      <c r="K155" s="16" t="s">
        <v>57</v>
      </c>
      <c r="L155" s="16" t="s">
        <v>50</v>
      </c>
      <c r="M155" s="15">
        <v>44659</v>
      </c>
      <c r="N155" s="17">
        <v>899.97</v>
      </c>
    </row>
    <row r="156" spans="1:14" x14ac:dyDescent="0.3">
      <c r="A156" s="16" t="s">
        <v>329</v>
      </c>
      <c r="B156" s="15">
        <v>45627</v>
      </c>
      <c r="C156" s="16" t="s">
        <v>72</v>
      </c>
      <c r="D156" s="16" t="s">
        <v>73</v>
      </c>
      <c r="E156" s="16" t="s">
        <v>41</v>
      </c>
      <c r="F156" s="16" t="s">
        <v>42</v>
      </c>
      <c r="G156" s="16" t="s">
        <v>43</v>
      </c>
      <c r="H156" s="17">
        <v>5</v>
      </c>
      <c r="I156" s="17">
        <v>249.99</v>
      </c>
      <c r="J156" s="16" t="s">
        <v>44</v>
      </c>
      <c r="K156" s="16" t="s">
        <v>45</v>
      </c>
      <c r="L156" s="16" t="s">
        <v>50</v>
      </c>
      <c r="M156" s="15">
        <v>44485</v>
      </c>
      <c r="N156" s="17">
        <v>1249.95</v>
      </c>
    </row>
    <row r="157" spans="1:14" x14ac:dyDescent="0.3">
      <c r="A157" s="16" t="s">
        <v>330</v>
      </c>
      <c r="B157" s="15">
        <v>45627</v>
      </c>
      <c r="C157" s="16" t="s">
        <v>47</v>
      </c>
      <c r="D157" s="16" t="s">
        <v>48</v>
      </c>
      <c r="E157" s="16" t="s">
        <v>70</v>
      </c>
      <c r="F157" s="16" t="s">
        <v>71</v>
      </c>
      <c r="G157" s="16" t="s">
        <v>43</v>
      </c>
      <c r="H157" s="17">
        <v>2</v>
      </c>
      <c r="I157" s="17">
        <v>149.99</v>
      </c>
      <c r="J157" s="16" t="s">
        <v>44</v>
      </c>
      <c r="K157" s="16" t="s">
        <v>57</v>
      </c>
      <c r="L157" s="16" t="s">
        <v>50</v>
      </c>
      <c r="M157" s="15">
        <v>44475</v>
      </c>
      <c r="N157" s="17">
        <v>299.98</v>
      </c>
    </row>
    <row r="158" spans="1:14" x14ac:dyDescent="0.3">
      <c r="A158" s="16" t="s">
        <v>331</v>
      </c>
      <c r="B158" s="15">
        <v>45627</v>
      </c>
      <c r="C158" s="16" t="s">
        <v>94</v>
      </c>
      <c r="D158" s="16" t="s">
        <v>95</v>
      </c>
      <c r="E158" s="16" t="s">
        <v>90</v>
      </c>
      <c r="F158" s="16" t="s">
        <v>91</v>
      </c>
      <c r="G158" s="16" t="s">
        <v>43</v>
      </c>
      <c r="H158" s="17">
        <v>5</v>
      </c>
      <c r="I158" s="17">
        <v>699.99</v>
      </c>
      <c r="J158" s="16" t="s">
        <v>74</v>
      </c>
      <c r="K158" s="16" t="s">
        <v>69</v>
      </c>
      <c r="L158" s="16" t="s">
        <v>58</v>
      </c>
      <c r="M158" s="15">
        <v>44944</v>
      </c>
      <c r="N158" s="17">
        <v>3499.95</v>
      </c>
    </row>
    <row r="159" spans="1:14" x14ac:dyDescent="0.3">
      <c r="A159" s="16" t="s">
        <v>332</v>
      </c>
      <c r="B159" s="15">
        <v>45629</v>
      </c>
      <c r="C159" s="16" t="s">
        <v>162</v>
      </c>
      <c r="D159" s="16" t="s">
        <v>163</v>
      </c>
      <c r="E159" s="16" t="s">
        <v>41</v>
      </c>
      <c r="F159" s="16" t="s">
        <v>42</v>
      </c>
      <c r="G159" s="16" t="s">
        <v>43</v>
      </c>
      <c r="H159" s="17">
        <v>4</v>
      </c>
      <c r="I159" s="17">
        <v>249.99</v>
      </c>
      <c r="J159" s="16" t="s">
        <v>56</v>
      </c>
      <c r="K159" s="16" t="s">
        <v>79</v>
      </c>
      <c r="L159" s="16" t="s">
        <v>50</v>
      </c>
      <c r="M159" s="15">
        <v>45098</v>
      </c>
      <c r="N159" s="17">
        <v>999.96</v>
      </c>
    </row>
    <row r="160" spans="1:14" x14ac:dyDescent="0.3">
      <c r="A160" s="16" t="s">
        <v>333</v>
      </c>
      <c r="B160" s="15">
        <v>45630</v>
      </c>
      <c r="C160" s="16" t="s">
        <v>67</v>
      </c>
      <c r="D160" s="16" t="s">
        <v>68</v>
      </c>
      <c r="E160" s="16" t="s">
        <v>90</v>
      </c>
      <c r="F160" s="16" t="s">
        <v>91</v>
      </c>
      <c r="G160" s="16" t="s">
        <v>43</v>
      </c>
      <c r="H160" s="17">
        <v>4</v>
      </c>
      <c r="I160" s="17">
        <v>699.99</v>
      </c>
      <c r="J160" s="16" t="s">
        <v>49</v>
      </c>
      <c r="K160" s="16" t="s">
        <v>61</v>
      </c>
      <c r="L160" s="16" t="s">
        <v>50</v>
      </c>
      <c r="M160" s="15">
        <v>44703</v>
      </c>
      <c r="N160" s="17">
        <v>2799.96</v>
      </c>
    </row>
    <row r="161" spans="1:14" x14ac:dyDescent="0.3">
      <c r="A161" s="16" t="s">
        <v>334</v>
      </c>
      <c r="B161" s="15">
        <v>45635</v>
      </c>
      <c r="C161" s="16" t="s">
        <v>108</v>
      </c>
      <c r="D161" s="16" t="s">
        <v>109</v>
      </c>
      <c r="E161" s="16" t="s">
        <v>41</v>
      </c>
      <c r="F161" s="16" t="s">
        <v>42</v>
      </c>
      <c r="G161" s="16" t="s">
        <v>43</v>
      </c>
      <c r="H161" s="17">
        <v>2</v>
      </c>
      <c r="I161" s="17">
        <v>249.99</v>
      </c>
      <c r="J161" s="16" t="s">
        <v>49</v>
      </c>
      <c r="K161" s="16" t="s">
        <v>45</v>
      </c>
      <c r="L161" s="16" t="s">
        <v>50</v>
      </c>
      <c r="M161" s="15">
        <v>44396</v>
      </c>
      <c r="N161" s="17">
        <v>499.98</v>
      </c>
    </row>
    <row r="162" spans="1:14" x14ac:dyDescent="0.3">
      <c r="A162" s="16" t="s">
        <v>335</v>
      </c>
      <c r="B162" s="15">
        <v>45635</v>
      </c>
      <c r="C162" s="16" t="s">
        <v>168</v>
      </c>
      <c r="D162" s="16" t="s">
        <v>169</v>
      </c>
      <c r="E162" s="16" t="s">
        <v>53</v>
      </c>
      <c r="F162" s="16" t="s">
        <v>54</v>
      </c>
      <c r="G162" s="16" t="s">
        <v>55</v>
      </c>
      <c r="H162" s="17">
        <v>3</v>
      </c>
      <c r="I162" s="17">
        <v>59.99</v>
      </c>
      <c r="J162" s="16" t="s">
        <v>44</v>
      </c>
      <c r="K162" s="16" t="s">
        <v>45</v>
      </c>
      <c r="L162" s="16" t="s">
        <v>50</v>
      </c>
      <c r="M162" s="15">
        <v>45052</v>
      </c>
      <c r="N162" s="17">
        <v>179.97</v>
      </c>
    </row>
    <row r="163" spans="1:14" x14ac:dyDescent="0.3">
      <c r="A163" s="16" t="s">
        <v>336</v>
      </c>
      <c r="B163" s="15">
        <v>45635</v>
      </c>
      <c r="C163" s="16" t="s">
        <v>128</v>
      </c>
      <c r="D163" s="16" t="s">
        <v>129</v>
      </c>
      <c r="E163" s="16" t="s">
        <v>112</v>
      </c>
      <c r="F163" s="16" t="s">
        <v>113</v>
      </c>
      <c r="G163" s="16" t="s">
        <v>55</v>
      </c>
      <c r="H163" s="17">
        <v>4</v>
      </c>
      <c r="I163" s="17">
        <v>79.989999999999995</v>
      </c>
      <c r="J163" s="16" t="s">
        <v>74</v>
      </c>
      <c r="K163" s="16" t="s">
        <v>79</v>
      </c>
      <c r="L163" s="16" t="s">
        <v>58</v>
      </c>
      <c r="M163" s="15">
        <v>44921</v>
      </c>
      <c r="N163" s="17">
        <v>319.95999999999998</v>
      </c>
    </row>
    <row r="164" spans="1:14" x14ac:dyDescent="0.3">
      <c r="A164" s="16" t="s">
        <v>337</v>
      </c>
      <c r="B164" s="15">
        <v>45636</v>
      </c>
      <c r="C164" s="16" t="s">
        <v>116</v>
      </c>
      <c r="D164" s="16" t="s">
        <v>117</v>
      </c>
      <c r="E164" s="16" t="s">
        <v>112</v>
      </c>
      <c r="F164" s="16" t="s">
        <v>113</v>
      </c>
      <c r="G164" s="16" t="s">
        <v>55</v>
      </c>
      <c r="H164" s="17">
        <v>3</v>
      </c>
      <c r="I164" s="17">
        <v>79.989999999999995</v>
      </c>
      <c r="J164" s="16" t="s">
        <v>74</v>
      </c>
      <c r="K164" s="16" t="s">
        <v>79</v>
      </c>
      <c r="L164" s="16" t="s">
        <v>58</v>
      </c>
      <c r="M164" s="15">
        <v>44779</v>
      </c>
      <c r="N164" s="17">
        <v>239.97</v>
      </c>
    </row>
    <row r="165" spans="1:14" x14ac:dyDescent="0.3">
      <c r="A165" s="16" t="s">
        <v>338</v>
      </c>
      <c r="B165" s="15">
        <v>45638</v>
      </c>
      <c r="C165" s="16" t="s">
        <v>84</v>
      </c>
      <c r="D165" s="16" t="s">
        <v>85</v>
      </c>
      <c r="E165" s="16" t="s">
        <v>77</v>
      </c>
      <c r="F165" s="16" t="s">
        <v>78</v>
      </c>
      <c r="G165" s="16" t="s">
        <v>43</v>
      </c>
      <c r="H165" s="17">
        <v>2</v>
      </c>
      <c r="I165" s="17">
        <v>899.99</v>
      </c>
      <c r="J165" s="16" t="s">
        <v>44</v>
      </c>
      <c r="K165" s="16" t="s">
        <v>61</v>
      </c>
      <c r="L165" s="16" t="s">
        <v>46</v>
      </c>
      <c r="M165" s="15">
        <v>44406</v>
      </c>
      <c r="N165" s="17">
        <v>1799.98</v>
      </c>
    </row>
    <row r="166" spans="1:14" x14ac:dyDescent="0.3">
      <c r="A166" s="16" t="s">
        <v>339</v>
      </c>
      <c r="B166" s="15">
        <v>45641</v>
      </c>
      <c r="C166" s="16" t="s">
        <v>144</v>
      </c>
      <c r="D166" s="16" t="s">
        <v>145</v>
      </c>
      <c r="E166" s="16" t="s">
        <v>64</v>
      </c>
      <c r="F166" s="16" t="s">
        <v>65</v>
      </c>
      <c r="G166" s="16" t="s">
        <v>66</v>
      </c>
      <c r="H166" s="17">
        <v>1</v>
      </c>
      <c r="I166" s="17">
        <v>149.99</v>
      </c>
      <c r="J166" s="16" t="s">
        <v>74</v>
      </c>
      <c r="K166" s="16" t="s">
        <v>79</v>
      </c>
      <c r="L166" s="16" t="s">
        <v>58</v>
      </c>
      <c r="M166" s="15">
        <v>45200</v>
      </c>
      <c r="N166" s="17">
        <v>149.99</v>
      </c>
    </row>
    <row r="167" spans="1:14" x14ac:dyDescent="0.3">
      <c r="A167" s="16" t="s">
        <v>340</v>
      </c>
      <c r="B167" s="15">
        <v>45641</v>
      </c>
      <c r="C167" s="16" t="s">
        <v>126</v>
      </c>
      <c r="D167" s="16" t="s">
        <v>127</v>
      </c>
      <c r="E167" s="16" t="s">
        <v>106</v>
      </c>
      <c r="F167" s="16" t="s">
        <v>107</v>
      </c>
      <c r="G167" s="16" t="s">
        <v>66</v>
      </c>
      <c r="H167" s="17">
        <v>2</v>
      </c>
      <c r="I167" s="17">
        <v>299.99</v>
      </c>
      <c r="J167" s="16" t="s">
        <v>44</v>
      </c>
      <c r="K167" s="16" t="s">
        <v>79</v>
      </c>
      <c r="L167" s="16" t="s">
        <v>50</v>
      </c>
      <c r="M167" s="15">
        <v>44724</v>
      </c>
      <c r="N167" s="17">
        <v>599.98</v>
      </c>
    </row>
    <row r="168" spans="1:14" x14ac:dyDescent="0.3">
      <c r="A168" s="16" t="s">
        <v>341</v>
      </c>
      <c r="B168" s="15">
        <v>45644</v>
      </c>
      <c r="C168" s="16" t="s">
        <v>124</v>
      </c>
      <c r="D168" s="16" t="s">
        <v>125</v>
      </c>
      <c r="E168" s="16" t="s">
        <v>53</v>
      </c>
      <c r="F168" s="16" t="s">
        <v>54</v>
      </c>
      <c r="G168" s="16" t="s">
        <v>55</v>
      </c>
      <c r="H168" s="17">
        <v>2</v>
      </c>
      <c r="I168" s="17">
        <v>59.99</v>
      </c>
      <c r="J168" s="16" t="s">
        <v>44</v>
      </c>
      <c r="K168" s="16" t="s">
        <v>69</v>
      </c>
      <c r="L168" s="16" t="s">
        <v>46</v>
      </c>
      <c r="M168" s="15">
        <v>45191</v>
      </c>
      <c r="N168" s="17">
        <v>119.98</v>
      </c>
    </row>
    <row r="169" spans="1:14" x14ac:dyDescent="0.3">
      <c r="A169" s="16" t="s">
        <v>342</v>
      </c>
      <c r="B169" s="15">
        <v>45645</v>
      </c>
      <c r="C169" s="16" t="s">
        <v>144</v>
      </c>
      <c r="D169" s="16" t="s">
        <v>145</v>
      </c>
      <c r="E169" s="16" t="s">
        <v>114</v>
      </c>
      <c r="F169" s="16" t="s">
        <v>115</v>
      </c>
      <c r="G169" s="16" t="s">
        <v>43</v>
      </c>
      <c r="H169" s="17">
        <v>1</v>
      </c>
      <c r="I169" s="17">
        <v>89.99</v>
      </c>
      <c r="J169" s="16" t="s">
        <v>74</v>
      </c>
      <c r="K169" s="16" t="s">
        <v>45</v>
      </c>
      <c r="L169" s="16" t="s">
        <v>58</v>
      </c>
      <c r="M169" s="15">
        <v>44760</v>
      </c>
      <c r="N169" s="17">
        <v>89.99</v>
      </c>
    </row>
    <row r="170" spans="1:14" x14ac:dyDescent="0.3">
      <c r="A170" s="16" t="s">
        <v>343</v>
      </c>
      <c r="B170" s="15">
        <v>45645</v>
      </c>
      <c r="C170" s="16" t="s">
        <v>132</v>
      </c>
      <c r="D170" s="16" t="s">
        <v>133</v>
      </c>
      <c r="E170" s="16" t="s">
        <v>77</v>
      </c>
      <c r="F170" s="16" t="s">
        <v>78</v>
      </c>
      <c r="G170" s="16" t="s">
        <v>43</v>
      </c>
      <c r="H170" s="17">
        <v>5</v>
      </c>
      <c r="I170" s="17">
        <v>899.99</v>
      </c>
      <c r="J170" s="16" t="s">
        <v>74</v>
      </c>
      <c r="K170" s="16" t="s">
        <v>79</v>
      </c>
      <c r="L170" s="16" t="s">
        <v>58</v>
      </c>
      <c r="M170" s="15">
        <v>44625</v>
      </c>
      <c r="N170" s="17">
        <v>4499.95</v>
      </c>
    </row>
    <row r="171" spans="1:14" x14ac:dyDescent="0.3">
      <c r="A171" s="16" t="s">
        <v>344</v>
      </c>
      <c r="B171" s="15">
        <v>45646</v>
      </c>
      <c r="C171" s="16" t="s">
        <v>62</v>
      </c>
      <c r="D171" s="16" t="s">
        <v>63</v>
      </c>
      <c r="E171" s="16" t="s">
        <v>64</v>
      </c>
      <c r="F171" s="16" t="s">
        <v>65</v>
      </c>
      <c r="G171" s="16" t="s">
        <v>66</v>
      </c>
      <c r="H171" s="17">
        <v>2</v>
      </c>
      <c r="I171" s="17">
        <v>149.99</v>
      </c>
      <c r="J171" s="16" t="s">
        <v>44</v>
      </c>
      <c r="K171" s="16" t="s">
        <v>57</v>
      </c>
      <c r="L171" s="16" t="s">
        <v>46</v>
      </c>
      <c r="M171" s="15">
        <v>45239</v>
      </c>
      <c r="N171" s="17">
        <v>299.98</v>
      </c>
    </row>
    <row r="172" spans="1:14" x14ac:dyDescent="0.3">
      <c r="A172" s="16" t="s">
        <v>345</v>
      </c>
      <c r="B172" s="15">
        <v>45648</v>
      </c>
      <c r="C172" s="16" t="s">
        <v>110</v>
      </c>
      <c r="D172" s="16" t="s">
        <v>111</v>
      </c>
      <c r="E172" s="16" t="s">
        <v>70</v>
      </c>
      <c r="F172" s="16" t="s">
        <v>71</v>
      </c>
      <c r="G172" s="16" t="s">
        <v>43</v>
      </c>
      <c r="H172" s="17">
        <v>2</v>
      </c>
      <c r="I172" s="17">
        <v>149.99</v>
      </c>
      <c r="J172" s="16" t="s">
        <v>74</v>
      </c>
      <c r="K172" s="16" t="s">
        <v>69</v>
      </c>
      <c r="L172" s="16" t="s">
        <v>50</v>
      </c>
      <c r="M172" s="15">
        <v>45280</v>
      </c>
      <c r="N172" s="17">
        <v>299.98</v>
      </c>
    </row>
    <row r="173" spans="1:14" x14ac:dyDescent="0.3">
      <c r="A173" s="16" t="s">
        <v>346</v>
      </c>
      <c r="B173" s="15">
        <v>45648</v>
      </c>
      <c r="C173" s="16" t="s">
        <v>144</v>
      </c>
      <c r="D173" s="16" t="s">
        <v>145</v>
      </c>
      <c r="E173" s="16" t="s">
        <v>64</v>
      </c>
      <c r="F173" s="16" t="s">
        <v>65</v>
      </c>
      <c r="G173" s="16" t="s">
        <v>66</v>
      </c>
      <c r="H173" s="17">
        <v>3</v>
      </c>
      <c r="I173" s="17">
        <v>149.99</v>
      </c>
      <c r="J173" s="16" t="s">
        <v>74</v>
      </c>
      <c r="K173" s="16" t="s">
        <v>61</v>
      </c>
      <c r="L173" s="16" t="s">
        <v>58</v>
      </c>
      <c r="M173" s="15">
        <v>44522</v>
      </c>
      <c r="N173" s="17">
        <v>449.97</v>
      </c>
    </row>
    <row r="174" spans="1:14" x14ac:dyDescent="0.3">
      <c r="A174" s="16" t="s">
        <v>347</v>
      </c>
      <c r="B174" s="15">
        <v>45649</v>
      </c>
      <c r="C174" s="16" t="s">
        <v>51</v>
      </c>
      <c r="D174" s="16" t="s">
        <v>52</v>
      </c>
      <c r="E174" s="16" t="s">
        <v>106</v>
      </c>
      <c r="F174" s="16" t="s">
        <v>107</v>
      </c>
      <c r="G174" s="16" t="s">
        <v>66</v>
      </c>
      <c r="H174" s="17">
        <v>2</v>
      </c>
      <c r="I174" s="17">
        <v>299.99</v>
      </c>
      <c r="J174" s="16" t="s">
        <v>56</v>
      </c>
      <c r="K174" s="16" t="s">
        <v>57</v>
      </c>
      <c r="L174" s="16" t="s">
        <v>46</v>
      </c>
      <c r="M174" s="15">
        <v>44721</v>
      </c>
      <c r="N174" s="17">
        <v>599.98</v>
      </c>
    </row>
    <row r="175" spans="1:14" x14ac:dyDescent="0.3">
      <c r="A175" s="16" t="s">
        <v>348</v>
      </c>
      <c r="B175" s="15">
        <v>45654</v>
      </c>
      <c r="C175" s="16" t="s">
        <v>62</v>
      </c>
      <c r="D175" s="16" t="s">
        <v>63</v>
      </c>
      <c r="E175" s="16" t="s">
        <v>106</v>
      </c>
      <c r="F175" s="16" t="s">
        <v>107</v>
      </c>
      <c r="G175" s="16" t="s">
        <v>66</v>
      </c>
      <c r="H175" s="17">
        <v>2</v>
      </c>
      <c r="I175" s="17">
        <v>299.99</v>
      </c>
      <c r="J175" s="16" t="s">
        <v>44</v>
      </c>
      <c r="K175" s="16" t="s">
        <v>69</v>
      </c>
      <c r="L175" s="16" t="s">
        <v>46</v>
      </c>
      <c r="M175" s="15">
        <v>44771</v>
      </c>
      <c r="N175" s="17">
        <v>599.98</v>
      </c>
    </row>
    <row r="176" spans="1:14" x14ac:dyDescent="0.3">
      <c r="A176" s="16" t="s">
        <v>349</v>
      </c>
      <c r="B176" s="15">
        <v>45654</v>
      </c>
      <c r="C176" s="16" t="s">
        <v>116</v>
      </c>
      <c r="D176" s="16" t="s">
        <v>117</v>
      </c>
      <c r="E176" s="16" t="s">
        <v>120</v>
      </c>
      <c r="F176" s="16" t="s">
        <v>121</v>
      </c>
      <c r="G176" s="16" t="s">
        <v>66</v>
      </c>
      <c r="H176" s="17">
        <v>4</v>
      </c>
      <c r="I176" s="17">
        <v>199.99</v>
      </c>
      <c r="J176" s="16" t="s">
        <v>49</v>
      </c>
      <c r="K176" s="16" t="s">
        <v>45</v>
      </c>
      <c r="L176" s="16" t="s">
        <v>46</v>
      </c>
      <c r="M176" s="15">
        <v>44523</v>
      </c>
      <c r="N176" s="17">
        <v>799.96</v>
      </c>
    </row>
    <row r="177" spans="1:14" x14ac:dyDescent="0.3">
      <c r="A177" s="16" t="s">
        <v>350</v>
      </c>
      <c r="B177" s="15">
        <v>45655</v>
      </c>
      <c r="C177" s="16" t="s">
        <v>75</v>
      </c>
      <c r="D177" s="16" t="s">
        <v>76</v>
      </c>
      <c r="E177" s="16" t="s">
        <v>114</v>
      </c>
      <c r="F177" s="16" t="s">
        <v>115</v>
      </c>
      <c r="G177" s="16" t="s">
        <v>43</v>
      </c>
      <c r="H177" s="17">
        <v>1</v>
      </c>
      <c r="I177" s="17">
        <v>89.99</v>
      </c>
      <c r="J177" s="16" t="s">
        <v>49</v>
      </c>
      <c r="K177" s="16" t="s">
        <v>57</v>
      </c>
      <c r="L177" s="16" t="s">
        <v>50</v>
      </c>
      <c r="M177" s="15">
        <v>44591</v>
      </c>
      <c r="N177" s="17">
        <v>89.99</v>
      </c>
    </row>
    <row r="178" spans="1:14" x14ac:dyDescent="0.3">
      <c r="A178" s="16" t="s">
        <v>351</v>
      </c>
      <c r="B178" s="15">
        <v>45655</v>
      </c>
      <c r="C178" s="16" t="s">
        <v>108</v>
      </c>
      <c r="D178" s="16" t="s">
        <v>109</v>
      </c>
      <c r="E178" s="16" t="s">
        <v>64</v>
      </c>
      <c r="F178" s="16" t="s">
        <v>65</v>
      </c>
      <c r="G178" s="16" t="s">
        <v>66</v>
      </c>
      <c r="H178" s="17">
        <v>5</v>
      </c>
      <c r="I178" s="17">
        <v>149.99</v>
      </c>
      <c r="J178" s="16" t="s">
        <v>44</v>
      </c>
      <c r="K178" s="16" t="s">
        <v>45</v>
      </c>
      <c r="L178" s="16" t="s">
        <v>50</v>
      </c>
      <c r="M178" s="15">
        <v>45347</v>
      </c>
      <c r="N178" s="17">
        <v>749.95</v>
      </c>
    </row>
    <row r="179" spans="1:14" x14ac:dyDescent="0.3">
      <c r="A179" s="16" t="s">
        <v>352</v>
      </c>
      <c r="B179" s="15">
        <v>45657</v>
      </c>
      <c r="C179" s="16" t="s">
        <v>94</v>
      </c>
      <c r="D179" s="16" t="s">
        <v>95</v>
      </c>
      <c r="E179" s="16" t="s">
        <v>77</v>
      </c>
      <c r="F179" s="16" t="s">
        <v>78</v>
      </c>
      <c r="G179" s="16" t="s">
        <v>43</v>
      </c>
      <c r="H179" s="17">
        <v>1</v>
      </c>
      <c r="I179" s="17">
        <v>899.99</v>
      </c>
      <c r="J179" s="16" t="s">
        <v>56</v>
      </c>
      <c r="K179" s="16" t="s">
        <v>61</v>
      </c>
      <c r="L179" s="16" t="s">
        <v>50</v>
      </c>
      <c r="M179" s="15">
        <v>45050</v>
      </c>
      <c r="N179" s="17">
        <v>899.99</v>
      </c>
    </row>
    <row r="180" spans="1:14" x14ac:dyDescent="0.3">
      <c r="A180" s="16" t="s">
        <v>353</v>
      </c>
      <c r="B180" s="15">
        <v>45660</v>
      </c>
      <c r="C180" s="16" t="s">
        <v>132</v>
      </c>
      <c r="D180" s="16" t="s">
        <v>133</v>
      </c>
      <c r="E180" s="16" t="s">
        <v>114</v>
      </c>
      <c r="F180" s="16" t="s">
        <v>115</v>
      </c>
      <c r="G180" s="16" t="s">
        <v>43</v>
      </c>
      <c r="H180" s="17">
        <v>2</v>
      </c>
      <c r="I180" s="17">
        <v>89.99</v>
      </c>
      <c r="J180" s="16" t="s">
        <v>49</v>
      </c>
      <c r="K180" s="16" t="s">
        <v>57</v>
      </c>
      <c r="L180" s="16" t="s">
        <v>50</v>
      </c>
      <c r="M180" s="15">
        <v>44564</v>
      </c>
      <c r="N180" s="17">
        <v>179.98</v>
      </c>
    </row>
    <row r="181" spans="1:14" x14ac:dyDescent="0.3">
      <c r="A181" s="16" t="s">
        <v>354</v>
      </c>
      <c r="B181" s="15">
        <v>45661</v>
      </c>
      <c r="C181" s="16" t="s">
        <v>170</v>
      </c>
      <c r="D181" s="16" t="s">
        <v>171</v>
      </c>
      <c r="E181" s="16" t="s">
        <v>77</v>
      </c>
      <c r="F181" s="16" t="s">
        <v>78</v>
      </c>
      <c r="G181" s="16" t="s">
        <v>43</v>
      </c>
      <c r="H181" s="17">
        <v>1</v>
      </c>
      <c r="I181" s="17">
        <v>899.99</v>
      </c>
      <c r="J181" s="16" t="s">
        <v>56</v>
      </c>
      <c r="K181" s="16" t="s">
        <v>61</v>
      </c>
      <c r="L181" s="16" t="s">
        <v>58</v>
      </c>
      <c r="M181" s="15">
        <v>44752</v>
      </c>
      <c r="N181" s="17">
        <v>899.99</v>
      </c>
    </row>
    <row r="182" spans="1:14" x14ac:dyDescent="0.3">
      <c r="A182" s="16" t="s">
        <v>355</v>
      </c>
      <c r="B182" s="15">
        <v>45663</v>
      </c>
      <c r="C182" s="16" t="s">
        <v>122</v>
      </c>
      <c r="D182" s="16" t="s">
        <v>123</v>
      </c>
      <c r="E182" s="16" t="s">
        <v>70</v>
      </c>
      <c r="F182" s="16" t="s">
        <v>71</v>
      </c>
      <c r="G182" s="16" t="s">
        <v>43</v>
      </c>
      <c r="H182" s="17">
        <v>5</v>
      </c>
      <c r="I182" s="17">
        <v>149.99</v>
      </c>
      <c r="J182" s="16" t="s">
        <v>56</v>
      </c>
      <c r="K182" s="16" t="s">
        <v>79</v>
      </c>
      <c r="L182" s="16" t="s">
        <v>50</v>
      </c>
      <c r="M182" s="15">
        <v>44824</v>
      </c>
      <c r="N182" s="17">
        <v>749.95</v>
      </c>
    </row>
    <row r="183" spans="1:14" x14ac:dyDescent="0.3">
      <c r="A183" s="16" t="s">
        <v>356</v>
      </c>
      <c r="B183" s="15">
        <v>45663</v>
      </c>
      <c r="C183" s="16" t="s">
        <v>62</v>
      </c>
      <c r="D183" s="16" t="s">
        <v>63</v>
      </c>
      <c r="E183" s="16" t="s">
        <v>106</v>
      </c>
      <c r="F183" s="16" t="s">
        <v>107</v>
      </c>
      <c r="G183" s="16" t="s">
        <v>66</v>
      </c>
      <c r="H183" s="17">
        <v>3</v>
      </c>
      <c r="I183" s="17">
        <v>299.99</v>
      </c>
      <c r="J183" s="16" t="s">
        <v>44</v>
      </c>
      <c r="K183" s="16" t="s">
        <v>57</v>
      </c>
      <c r="L183" s="16" t="s">
        <v>58</v>
      </c>
      <c r="M183" s="15">
        <v>44422</v>
      </c>
      <c r="N183" s="17">
        <v>899.97</v>
      </c>
    </row>
    <row r="184" spans="1:14" x14ac:dyDescent="0.3">
      <c r="A184" s="16" t="s">
        <v>357</v>
      </c>
      <c r="B184" s="15">
        <v>45666</v>
      </c>
      <c r="C184" s="16" t="s">
        <v>80</v>
      </c>
      <c r="D184" s="16" t="s">
        <v>81</v>
      </c>
      <c r="E184" s="16" t="s">
        <v>90</v>
      </c>
      <c r="F184" s="16" t="s">
        <v>91</v>
      </c>
      <c r="G184" s="16" t="s">
        <v>43</v>
      </c>
      <c r="H184" s="17">
        <v>3</v>
      </c>
      <c r="I184" s="17">
        <v>699.99</v>
      </c>
      <c r="J184" s="16" t="s">
        <v>49</v>
      </c>
      <c r="K184" s="16" t="s">
        <v>45</v>
      </c>
      <c r="L184" s="16" t="s">
        <v>50</v>
      </c>
      <c r="M184" s="15">
        <v>45105</v>
      </c>
      <c r="N184" s="17">
        <v>2099.9699999999998</v>
      </c>
    </row>
    <row r="185" spans="1:14" x14ac:dyDescent="0.3">
      <c r="A185" s="16" t="s">
        <v>358</v>
      </c>
      <c r="B185" s="15">
        <v>45667</v>
      </c>
      <c r="C185" s="16" t="s">
        <v>108</v>
      </c>
      <c r="D185" s="16" t="s">
        <v>109</v>
      </c>
      <c r="E185" s="16" t="s">
        <v>120</v>
      </c>
      <c r="F185" s="16" t="s">
        <v>121</v>
      </c>
      <c r="G185" s="16" t="s">
        <v>66</v>
      </c>
      <c r="H185" s="17">
        <v>5</v>
      </c>
      <c r="I185" s="17">
        <v>199.99</v>
      </c>
      <c r="J185" s="16" t="s">
        <v>56</v>
      </c>
      <c r="K185" s="16" t="s">
        <v>45</v>
      </c>
      <c r="L185" s="16" t="s">
        <v>58</v>
      </c>
      <c r="M185" s="15">
        <v>44633</v>
      </c>
      <c r="N185" s="17">
        <v>999.95</v>
      </c>
    </row>
    <row r="186" spans="1:14" x14ac:dyDescent="0.3">
      <c r="A186" s="16" t="s">
        <v>359</v>
      </c>
      <c r="B186" s="15">
        <v>45667</v>
      </c>
      <c r="C186" s="16" t="s">
        <v>98</v>
      </c>
      <c r="D186" s="16" t="s">
        <v>99</v>
      </c>
      <c r="E186" s="16" t="s">
        <v>41</v>
      </c>
      <c r="F186" s="16" t="s">
        <v>42</v>
      </c>
      <c r="G186" s="16" t="s">
        <v>43</v>
      </c>
      <c r="H186" s="17">
        <v>5</v>
      </c>
      <c r="I186" s="17">
        <v>249.99</v>
      </c>
      <c r="J186" s="16" t="s">
        <v>49</v>
      </c>
      <c r="K186" s="16" t="s">
        <v>57</v>
      </c>
      <c r="L186" s="16" t="s">
        <v>46</v>
      </c>
      <c r="M186" s="15">
        <v>45330</v>
      </c>
      <c r="N186" s="17">
        <v>1249.95</v>
      </c>
    </row>
    <row r="187" spans="1:14" x14ac:dyDescent="0.3">
      <c r="A187" s="16" t="s">
        <v>360</v>
      </c>
      <c r="B187" s="15">
        <v>45668</v>
      </c>
      <c r="C187" s="16" t="s">
        <v>126</v>
      </c>
      <c r="D187" s="16" t="s">
        <v>127</v>
      </c>
      <c r="E187" s="16" t="s">
        <v>70</v>
      </c>
      <c r="F187" s="16" t="s">
        <v>71</v>
      </c>
      <c r="G187" s="16" t="s">
        <v>43</v>
      </c>
      <c r="H187" s="17">
        <v>4</v>
      </c>
      <c r="I187" s="17">
        <v>149.99</v>
      </c>
      <c r="J187" s="16" t="s">
        <v>74</v>
      </c>
      <c r="K187" s="16" t="s">
        <v>79</v>
      </c>
      <c r="L187" s="16" t="s">
        <v>58</v>
      </c>
      <c r="M187" s="15">
        <v>44536</v>
      </c>
      <c r="N187" s="17">
        <v>599.96</v>
      </c>
    </row>
    <row r="188" spans="1:14" x14ac:dyDescent="0.3">
      <c r="A188" s="16" t="s">
        <v>361</v>
      </c>
      <c r="B188" s="15">
        <v>45668</v>
      </c>
      <c r="C188" s="16" t="s">
        <v>88</v>
      </c>
      <c r="D188" s="16" t="s">
        <v>89</v>
      </c>
      <c r="E188" s="16" t="s">
        <v>90</v>
      </c>
      <c r="F188" s="16" t="s">
        <v>91</v>
      </c>
      <c r="G188" s="16" t="s">
        <v>43</v>
      </c>
      <c r="H188" s="17">
        <v>3</v>
      </c>
      <c r="I188" s="17">
        <v>699.99</v>
      </c>
      <c r="J188" s="16" t="s">
        <v>44</v>
      </c>
      <c r="K188" s="16" t="s">
        <v>61</v>
      </c>
      <c r="L188" s="16" t="s">
        <v>50</v>
      </c>
      <c r="M188" s="15">
        <v>44602</v>
      </c>
      <c r="N188" s="17">
        <v>2099.9699999999998</v>
      </c>
    </row>
    <row r="189" spans="1:14" x14ac:dyDescent="0.3">
      <c r="A189" s="16" t="s">
        <v>362</v>
      </c>
      <c r="B189" s="15">
        <v>45670</v>
      </c>
      <c r="C189" s="16" t="s">
        <v>166</v>
      </c>
      <c r="D189" s="16" t="s">
        <v>167</v>
      </c>
      <c r="E189" s="16" t="s">
        <v>112</v>
      </c>
      <c r="F189" s="16" t="s">
        <v>113</v>
      </c>
      <c r="G189" s="16" t="s">
        <v>55</v>
      </c>
      <c r="H189" s="17">
        <v>1</v>
      </c>
      <c r="I189" s="17">
        <v>79.989999999999995</v>
      </c>
      <c r="J189" s="16" t="s">
        <v>49</v>
      </c>
      <c r="K189" s="16" t="s">
        <v>57</v>
      </c>
      <c r="L189" s="16" t="s">
        <v>46</v>
      </c>
      <c r="M189" s="15">
        <v>45322</v>
      </c>
      <c r="N189" s="17">
        <v>79.989999999999995</v>
      </c>
    </row>
    <row r="190" spans="1:14" x14ac:dyDescent="0.3">
      <c r="A190" s="16" t="s">
        <v>363</v>
      </c>
      <c r="B190" s="15">
        <v>45670</v>
      </c>
      <c r="C190" s="16" t="s">
        <v>94</v>
      </c>
      <c r="D190" s="16" t="s">
        <v>95</v>
      </c>
      <c r="E190" s="16" t="s">
        <v>106</v>
      </c>
      <c r="F190" s="16" t="s">
        <v>107</v>
      </c>
      <c r="G190" s="16" t="s">
        <v>66</v>
      </c>
      <c r="H190" s="17">
        <v>1</v>
      </c>
      <c r="I190" s="17">
        <v>299.99</v>
      </c>
      <c r="J190" s="16" t="s">
        <v>49</v>
      </c>
      <c r="K190" s="16" t="s">
        <v>61</v>
      </c>
      <c r="L190" s="16" t="s">
        <v>46</v>
      </c>
      <c r="M190" s="15">
        <v>44436</v>
      </c>
      <c r="N190" s="17">
        <v>299.99</v>
      </c>
    </row>
    <row r="191" spans="1:14" x14ac:dyDescent="0.3">
      <c r="A191" s="16" t="s">
        <v>364</v>
      </c>
      <c r="B191" s="15">
        <v>45671</v>
      </c>
      <c r="C191" s="16" t="s">
        <v>138</v>
      </c>
      <c r="D191" s="16" t="s">
        <v>139</v>
      </c>
      <c r="E191" s="16" t="s">
        <v>41</v>
      </c>
      <c r="F191" s="16" t="s">
        <v>42</v>
      </c>
      <c r="G191" s="16" t="s">
        <v>43</v>
      </c>
      <c r="H191" s="17">
        <v>4</v>
      </c>
      <c r="I191" s="17">
        <v>249.99</v>
      </c>
      <c r="J191" s="16" t="s">
        <v>49</v>
      </c>
      <c r="K191" s="16" t="s">
        <v>61</v>
      </c>
      <c r="L191" s="16" t="s">
        <v>50</v>
      </c>
      <c r="M191" s="15">
        <v>44460</v>
      </c>
      <c r="N191" s="17">
        <v>999.96</v>
      </c>
    </row>
    <row r="192" spans="1:14" x14ac:dyDescent="0.3">
      <c r="A192" s="16" t="s">
        <v>365</v>
      </c>
      <c r="B192" s="15">
        <v>45671</v>
      </c>
      <c r="C192" s="16" t="s">
        <v>116</v>
      </c>
      <c r="D192" s="16" t="s">
        <v>117</v>
      </c>
      <c r="E192" s="16" t="s">
        <v>70</v>
      </c>
      <c r="F192" s="16" t="s">
        <v>71</v>
      </c>
      <c r="G192" s="16" t="s">
        <v>43</v>
      </c>
      <c r="H192" s="17">
        <v>2</v>
      </c>
      <c r="I192" s="17">
        <v>149.99</v>
      </c>
      <c r="J192" s="16" t="s">
        <v>44</v>
      </c>
      <c r="K192" s="16" t="s">
        <v>61</v>
      </c>
      <c r="L192" s="16" t="s">
        <v>58</v>
      </c>
      <c r="M192" s="15">
        <v>44913</v>
      </c>
      <c r="N192" s="17">
        <v>299.98</v>
      </c>
    </row>
    <row r="193" spans="1:14" x14ac:dyDescent="0.3">
      <c r="A193" s="16" t="s">
        <v>366</v>
      </c>
      <c r="B193" s="15">
        <v>45671</v>
      </c>
      <c r="C193" s="16" t="s">
        <v>158</v>
      </c>
      <c r="D193" s="16" t="s">
        <v>159</v>
      </c>
      <c r="E193" s="16" t="s">
        <v>106</v>
      </c>
      <c r="F193" s="16" t="s">
        <v>107</v>
      </c>
      <c r="G193" s="16" t="s">
        <v>66</v>
      </c>
      <c r="H193" s="17">
        <v>3</v>
      </c>
      <c r="I193" s="17">
        <v>299.99</v>
      </c>
      <c r="J193" s="16" t="s">
        <v>49</v>
      </c>
      <c r="K193" s="16" t="s">
        <v>57</v>
      </c>
      <c r="L193" s="16" t="s">
        <v>46</v>
      </c>
      <c r="M193" s="15">
        <v>45204</v>
      </c>
      <c r="N193" s="17">
        <v>899.97</v>
      </c>
    </row>
    <row r="194" spans="1:14" x14ac:dyDescent="0.3">
      <c r="A194" s="16" t="s">
        <v>367</v>
      </c>
      <c r="B194" s="15">
        <v>45673</v>
      </c>
      <c r="C194" s="16" t="s">
        <v>154</v>
      </c>
      <c r="D194" s="16" t="s">
        <v>155</v>
      </c>
      <c r="E194" s="16" t="s">
        <v>120</v>
      </c>
      <c r="F194" s="16" t="s">
        <v>121</v>
      </c>
      <c r="G194" s="16" t="s">
        <v>66</v>
      </c>
      <c r="H194" s="17">
        <v>4</v>
      </c>
      <c r="I194" s="17">
        <v>199.99</v>
      </c>
      <c r="J194" s="16" t="s">
        <v>74</v>
      </c>
      <c r="K194" s="16" t="s">
        <v>57</v>
      </c>
      <c r="L194" s="16" t="s">
        <v>58</v>
      </c>
      <c r="M194" s="15">
        <v>44544</v>
      </c>
      <c r="N194" s="17">
        <v>799.96</v>
      </c>
    </row>
    <row r="195" spans="1:14" x14ac:dyDescent="0.3">
      <c r="A195" s="16" t="s">
        <v>368</v>
      </c>
      <c r="B195" s="15">
        <v>45673</v>
      </c>
      <c r="C195" s="16" t="s">
        <v>152</v>
      </c>
      <c r="D195" s="16" t="s">
        <v>153</v>
      </c>
      <c r="E195" s="16" t="s">
        <v>106</v>
      </c>
      <c r="F195" s="16" t="s">
        <v>107</v>
      </c>
      <c r="G195" s="16" t="s">
        <v>66</v>
      </c>
      <c r="H195" s="17">
        <v>5</v>
      </c>
      <c r="I195" s="17">
        <v>299.99</v>
      </c>
      <c r="J195" s="16" t="s">
        <v>74</v>
      </c>
      <c r="K195" s="16" t="s">
        <v>45</v>
      </c>
      <c r="L195" s="16" t="s">
        <v>46</v>
      </c>
      <c r="M195" s="15">
        <v>44431</v>
      </c>
      <c r="N195" s="17">
        <v>1499.95</v>
      </c>
    </row>
    <row r="196" spans="1:14" x14ac:dyDescent="0.3">
      <c r="A196" s="16" t="s">
        <v>369</v>
      </c>
      <c r="B196" s="15">
        <v>45673</v>
      </c>
      <c r="C196" s="16" t="s">
        <v>75</v>
      </c>
      <c r="D196" s="16" t="s">
        <v>76</v>
      </c>
      <c r="E196" s="16" t="s">
        <v>64</v>
      </c>
      <c r="F196" s="16" t="s">
        <v>65</v>
      </c>
      <c r="G196" s="16" t="s">
        <v>66</v>
      </c>
      <c r="H196" s="17">
        <v>3</v>
      </c>
      <c r="I196" s="17">
        <v>149.99</v>
      </c>
      <c r="J196" s="16" t="s">
        <v>49</v>
      </c>
      <c r="K196" s="16" t="s">
        <v>79</v>
      </c>
      <c r="L196" s="16" t="s">
        <v>58</v>
      </c>
      <c r="M196" s="15">
        <v>44395</v>
      </c>
      <c r="N196" s="17">
        <v>449.97</v>
      </c>
    </row>
    <row r="197" spans="1:14" x14ac:dyDescent="0.3">
      <c r="A197" s="16" t="s">
        <v>370</v>
      </c>
      <c r="B197" s="15">
        <v>45676</v>
      </c>
      <c r="C197" s="16" t="s">
        <v>122</v>
      </c>
      <c r="D197" s="16" t="s">
        <v>123</v>
      </c>
      <c r="E197" s="16" t="s">
        <v>53</v>
      </c>
      <c r="F197" s="16" t="s">
        <v>54</v>
      </c>
      <c r="G197" s="16" t="s">
        <v>55</v>
      </c>
      <c r="H197" s="17">
        <v>5</v>
      </c>
      <c r="I197" s="17">
        <v>59.99</v>
      </c>
      <c r="J197" s="16" t="s">
        <v>74</v>
      </c>
      <c r="K197" s="16" t="s">
        <v>79</v>
      </c>
      <c r="L197" s="16" t="s">
        <v>46</v>
      </c>
      <c r="M197" s="15">
        <v>44642</v>
      </c>
      <c r="N197" s="17">
        <v>299.95</v>
      </c>
    </row>
    <row r="198" spans="1:14" x14ac:dyDescent="0.3">
      <c r="A198" s="16" t="s">
        <v>371</v>
      </c>
      <c r="B198" s="15">
        <v>45682</v>
      </c>
      <c r="C198" s="16" t="s">
        <v>82</v>
      </c>
      <c r="D198" s="16" t="s">
        <v>83</v>
      </c>
      <c r="E198" s="16" t="s">
        <v>53</v>
      </c>
      <c r="F198" s="16" t="s">
        <v>54</v>
      </c>
      <c r="G198" s="16" t="s">
        <v>55</v>
      </c>
      <c r="H198" s="17">
        <v>4</v>
      </c>
      <c r="I198" s="17">
        <v>59.99</v>
      </c>
      <c r="J198" s="16" t="s">
        <v>74</v>
      </c>
      <c r="K198" s="16" t="s">
        <v>79</v>
      </c>
      <c r="L198" s="16" t="s">
        <v>58</v>
      </c>
      <c r="M198" s="15">
        <v>44564</v>
      </c>
      <c r="N198" s="17">
        <v>239.96</v>
      </c>
    </row>
    <row r="199" spans="1:14" x14ac:dyDescent="0.3">
      <c r="A199" s="16" t="s">
        <v>372</v>
      </c>
      <c r="B199" s="15">
        <v>45683</v>
      </c>
      <c r="C199" s="16" t="s">
        <v>67</v>
      </c>
      <c r="D199" s="16" t="s">
        <v>68</v>
      </c>
      <c r="E199" s="16" t="s">
        <v>41</v>
      </c>
      <c r="F199" s="16" t="s">
        <v>42</v>
      </c>
      <c r="G199" s="16" t="s">
        <v>43</v>
      </c>
      <c r="H199" s="17">
        <v>4</v>
      </c>
      <c r="I199" s="17">
        <v>249.99</v>
      </c>
      <c r="J199" s="16" t="s">
        <v>74</v>
      </c>
      <c r="K199" s="16" t="s">
        <v>45</v>
      </c>
      <c r="L199" s="16" t="s">
        <v>50</v>
      </c>
      <c r="M199" s="15">
        <v>45217</v>
      </c>
      <c r="N199" s="17">
        <v>999.96</v>
      </c>
    </row>
    <row r="200" spans="1:14" x14ac:dyDescent="0.3">
      <c r="A200" s="16" t="s">
        <v>373</v>
      </c>
      <c r="B200" s="15">
        <v>45686</v>
      </c>
      <c r="C200" s="16" t="s">
        <v>162</v>
      </c>
      <c r="D200" s="16" t="s">
        <v>163</v>
      </c>
      <c r="E200" s="16" t="s">
        <v>77</v>
      </c>
      <c r="F200" s="16" t="s">
        <v>78</v>
      </c>
      <c r="G200" s="16" t="s">
        <v>43</v>
      </c>
      <c r="H200" s="17">
        <v>4</v>
      </c>
      <c r="I200" s="17">
        <v>899.99</v>
      </c>
      <c r="J200" s="16" t="s">
        <v>56</v>
      </c>
      <c r="K200" s="16" t="s">
        <v>45</v>
      </c>
      <c r="L200" s="16" t="s">
        <v>46</v>
      </c>
      <c r="M200" s="15">
        <v>44734</v>
      </c>
      <c r="N200" s="17">
        <v>3599.96</v>
      </c>
    </row>
    <row r="201" spans="1:14" x14ac:dyDescent="0.3">
      <c r="A201" s="16" t="s">
        <v>374</v>
      </c>
      <c r="B201" s="15">
        <v>45686</v>
      </c>
      <c r="C201" s="16" t="s">
        <v>94</v>
      </c>
      <c r="D201" s="16" t="s">
        <v>95</v>
      </c>
      <c r="E201" s="16" t="s">
        <v>106</v>
      </c>
      <c r="F201" s="16" t="s">
        <v>107</v>
      </c>
      <c r="G201" s="16" t="s">
        <v>66</v>
      </c>
      <c r="H201" s="17">
        <v>3</v>
      </c>
      <c r="I201" s="17">
        <v>299.99</v>
      </c>
      <c r="J201" s="16" t="s">
        <v>74</v>
      </c>
      <c r="K201" s="16" t="s">
        <v>69</v>
      </c>
      <c r="L201" s="16" t="s">
        <v>58</v>
      </c>
      <c r="M201" s="15">
        <v>44952</v>
      </c>
      <c r="N201" s="17">
        <v>899.97</v>
      </c>
    </row>
    <row r="202" spans="1:14" x14ac:dyDescent="0.3">
      <c r="A202" s="16" t="s">
        <v>375</v>
      </c>
      <c r="B202" s="15">
        <v>45686</v>
      </c>
      <c r="C202" s="16" t="s">
        <v>166</v>
      </c>
      <c r="D202" s="16" t="s">
        <v>167</v>
      </c>
      <c r="E202" s="16" t="s">
        <v>90</v>
      </c>
      <c r="F202" s="16" t="s">
        <v>91</v>
      </c>
      <c r="G202" s="16" t="s">
        <v>43</v>
      </c>
      <c r="H202" s="17">
        <v>2</v>
      </c>
      <c r="I202" s="17">
        <v>699.99</v>
      </c>
      <c r="J202" s="16" t="s">
        <v>74</v>
      </c>
      <c r="K202" s="16" t="s">
        <v>45</v>
      </c>
      <c r="L202" s="16" t="s">
        <v>50</v>
      </c>
      <c r="M202" s="15">
        <v>44681</v>
      </c>
      <c r="N202" s="17">
        <v>1399.98</v>
      </c>
    </row>
    <row r="203" spans="1:14" x14ac:dyDescent="0.3">
      <c r="A203" s="16" t="s">
        <v>376</v>
      </c>
      <c r="B203" s="15">
        <v>45688</v>
      </c>
      <c r="C203" s="16" t="s">
        <v>80</v>
      </c>
      <c r="D203" s="16" t="s">
        <v>81</v>
      </c>
      <c r="E203" s="16" t="s">
        <v>90</v>
      </c>
      <c r="F203" s="16" t="s">
        <v>91</v>
      </c>
      <c r="G203" s="16" t="s">
        <v>43</v>
      </c>
      <c r="H203" s="17">
        <v>4</v>
      </c>
      <c r="I203" s="17">
        <v>699.99</v>
      </c>
      <c r="J203" s="16" t="s">
        <v>74</v>
      </c>
      <c r="K203" s="16" t="s">
        <v>69</v>
      </c>
      <c r="L203" s="16" t="s">
        <v>50</v>
      </c>
      <c r="M203" s="15">
        <v>44692</v>
      </c>
      <c r="N203" s="17">
        <v>2799.96</v>
      </c>
    </row>
    <row r="204" spans="1:14" x14ac:dyDescent="0.3">
      <c r="A204" s="16" t="s">
        <v>377</v>
      </c>
      <c r="B204" s="15">
        <v>45688</v>
      </c>
      <c r="C204" s="16" t="s">
        <v>118</v>
      </c>
      <c r="D204" s="16" t="s">
        <v>119</v>
      </c>
      <c r="E204" s="16" t="s">
        <v>114</v>
      </c>
      <c r="F204" s="16" t="s">
        <v>115</v>
      </c>
      <c r="G204" s="16" t="s">
        <v>43</v>
      </c>
      <c r="H204" s="17">
        <v>2</v>
      </c>
      <c r="I204" s="17">
        <v>89.99</v>
      </c>
      <c r="J204" s="16" t="s">
        <v>74</v>
      </c>
      <c r="K204" s="16" t="s">
        <v>57</v>
      </c>
      <c r="L204" s="16" t="s">
        <v>46</v>
      </c>
      <c r="M204" s="15">
        <v>44777</v>
      </c>
      <c r="N204" s="17">
        <v>179.98</v>
      </c>
    </row>
    <row r="205" spans="1:14" x14ac:dyDescent="0.3">
      <c r="A205" s="16" t="s">
        <v>378</v>
      </c>
      <c r="B205" s="15">
        <v>45688</v>
      </c>
      <c r="C205" s="16" t="s">
        <v>62</v>
      </c>
      <c r="D205" s="16" t="s">
        <v>63</v>
      </c>
      <c r="E205" s="16" t="s">
        <v>114</v>
      </c>
      <c r="F205" s="16" t="s">
        <v>115</v>
      </c>
      <c r="G205" s="16" t="s">
        <v>43</v>
      </c>
      <c r="H205" s="17">
        <v>3</v>
      </c>
      <c r="I205" s="17">
        <v>89.99</v>
      </c>
      <c r="J205" s="16" t="s">
        <v>74</v>
      </c>
      <c r="K205" s="16" t="s">
        <v>57</v>
      </c>
      <c r="L205" s="16" t="s">
        <v>50</v>
      </c>
      <c r="M205" s="15">
        <v>45307</v>
      </c>
      <c r="N205" s="17">
        <v>269.97000000000003</v>
      </c>
    </row>
    <row r="206" spans="1:14" x14ac:dyDescent="0.3">
      <c r="A206" s="16" t="s">
        <v>379</v>
      </c>
      <c r="B206" s="15">
        <v>45692</v>
      </c>
      <c r="C206" s="16" t="s">
        <v>170</v>
      </c>
      <c r="D206" s="16" t="s">
        <v>171</v>
      </c>
      <c r="E206" s="16" t="s">
        <v>53</v>
      </c>
      <c r="F206" s="16" t="s">
        <v>54</v>
      </c>
      <c r="G206" s="16" t="s">
        <v>55</v>
      </c>
      <c r="H206" s="17">
        <v>1</v>
      </c>
      <c r="I206" s="17">
        <v>59.99</v>
      </c>
      <c r="J206" s="16" t="s">
        <v>74</v>
      </c>
      <c r="K206" s="16" t="s">
        <v>45</v>
      </c>
      <c r="L206" s="16" t="s">
        <v>58</v>
      </c>
      <c r="M206" s="15">
        <v>45045</v>
      </c>
      <c r="N206" s="17">
        <v>59.99</v>
      </c>
    </row>
    <row r="207" spans="1:14" x14ac:dyDescent="0.3">
      <c r="A207" s="16" t="s">
        <v>380</v>
      </c>
      <c r="B207" s="15">
        <v>45695</v>
      </c>
      <c r="C207" s="16" t="s">
        <v>160</v>
      </c>
      <c r="D207" s="16" t="s">
        <v>161</v>
      </c>
      <c r="E207" s="16" t="s">
        <v>64</v>
      </c>
      <c r="F207" s="16" t="s">
        <v>65</v>
      </c>
      <c r="G207" s="16" t="s">
        <v>66</v>
      </c>
      <c r="H207" s="17">
        <v>3</v>
      </c>
      <c r="I207" s="17">
        <v>149.99</v>
      </c>
      <c r="J207" s="16" t="s">
        <v>74</v>
      </c>
      <c r="K207" s="16" t="s">
        <v>61</v>
      </c>
      <c r="L207" s="16" t="s">
        <v>50</v>
      </c>
      <c r="M207" s="15">
        <v>44564</v>
      </c>
      <c r="N207" s="17">
        <v>449.97</v>
      </c>
    </row>
    <row r="208" spans="1:14" x14ac:dyDescent="0.3">
      <c r="A208" s="16" t="s">
        <v>381</v>
      </c>
      <c r="B208" s="15">
        <v>45695</v>
      </c>
      <c r="C208" s="16" t="s">
        <v>98</v>
      </c>
      <c r="D208" s="16" t="s">
        <v>99</v>
      </c>
      <c r="E208" s="16" t="s">
        <v>106</v>
      </c>
      <c r="F208" s="16" t="s">
        <v>107</v>
      </c>
      <c r="G208" s="16" t="s">
        <v>66</v>
      </c>
      <c r="H208" s="17">
        <v>5</v>
      </c>
      <c r="I208" s="17">
        <v>299.99</v>
      </c>
      <c r="J208" s="16" t="s">
        <v>49</v>
      </c>
      <c r="K208" s="16" t="s">
        <v>57</v>
      </c>
      <c r="L208" s="16" t="s">
        <v>46</v>
      </c>
      <c r="M208" s="15">
        <v>44959</v>
      </c>
      <c r="N208" s="17">
        <v>1499.95</v>
      </c>
    </row>
    <row r="209" spans="1:14" x14ac:dyDescent="0.3">
      <c r="A209" s="16" t="s">
        <v>382</v>
      </c>
      <c r="B209" s="15">
        <v>45696</v>
      </c>
      <c r="C209" s="16" t="s">
        <v>134</v>
      </c>
      <c r="D209" s="16" t="s">
        <v>135</v>
      </c>
      <c r="E209" s="16" t="s">
        <v>53</v>
      </c>
      <c r="F209" s="16" t="s">
        <v>54</v>
      </c>
      <c r="G209" s="16" t="s">
        <v>55</v>
      </c>
      <c r="H209" s="17">
        <v>5</v>
      </c>
      <c r="I209" s="17">
        <v>59.99</v>
      </c>
      <c r="J209" s="16" t="s">
        <v>74</v>
      </c>
      <c r="K209" s="16" t="s">
        <v>45</v>
      </c>
      <c r="L209" s="16" t="s">
        <v>58</v>
      </c>
      <c r="M209" s="15">
        <v>45177</v>
      </c>
      <c r="N209" s="17">
        <v>299.95</v>
      </c>
    </row>
    <row r="210" spans="1:14" x14ac:dyDescent="0.3">
      <c r="A210" s="16" t="s">
        <v>383</v>
      </c>
      <c r="B210" s="15">
        <v>45701</v>
      </c>
      <c r="C210" s="16" t="s">
        <v>108</v>
      </c>
      <c r="D210" s="16" t="s">
        <v>109</v>
      </c>
      <c r="E210" s="16" t="s">
        <v>112</v>
      </c>
      <c r="F210" s="16" t="s">
        <v>113</v>
      </c>
      <c r="G210" s="16" t="s">
        <v>55</v>
      </c>
      <c r="H210" s="17">
        <v>3</v>
      </c>
      <c r="I210" s="17">
        <v>79.989999999999995</v>
      </c>
      <c r="J210" s="16" t="s">
        <v>44</v>
      </c>
      <c r="K210" s="16" t="s">
        <v>79</v>
      </c>
      <c r="L210" s="16" t="s">
        <v>50</v>
      </c>
      <c r="M210" s="15">
        <v>44436</v>
      </c>
      <c r="N210" s="17">
        <v>239.97</v>
      </c>
    </row>
    <row r="211" spans="1:14" x14ac:dyDescent="0.3">
      <c r="A211" s="16" t="s">
        <v>384</v>
      </c>
      <c r="B211" s="15">
        <v>45704</v>
      </c>
      <c r="C211" s="16" t="s">
        <v>51</v>
      </c>
      <c r="D211" s="16" t="s">
        <v>52</v>
      </c>
      <c r="E211" s="16" t="s">
        <v>120</v>
      </c>
      <c r="F211" s="16" t="s">
        <v>121</v>
      </c>
      <c r="G211" s="16" t="s">
        <v>66</v>
      </c>
      <c r="H211" s="17">
        <v>3</v>
      </c>
      <c r="I211" s="17">
        <v>199.99</v>
      </c>
      <c r="J211" s="16" t="s">
        <v>44</v>
      </c>
      <c r="K211" s="16" t="s">
        <v>45</v>
      </c>
      <c r="L211" s="16" t="s">
        <v>46</v>
      </c>
      <c r="M211" s="15">
        <v>44735</v>
      </c>
      <c r="N211" s="17">
        <v>599.97</v>
      </c>
    </row>
    <row r="212" spans="1:14" x14ac:dyDescent="0.3">
      <c r="A212" s="16" t="s">
        <v>385</v>
      </c>
      <c r="B212" s="15">
        <v>45704</v>
      </c>
      <c r="C212" s="16" t="s">
        <v>39</v>
      </c>
      <c r="D212" s="16" t="s">
        <v>40</v>
      </c>
      <c r="E212" s="16" t="s">
        <v>114</v>
      </c>
      <c r="F212" s="16" t="s">
        <v>115</v>
      </c>
      <c r="G212" s="16" t="s">
        <v>43</v>
      </c>
      <c r="H212" s="17">
        <v>2</v>
      </c>
      <c r="I212" s="17">
        <v>89.99</v>
      </c>
      <c r="J212" s="16" t="s">
        <v>56</v>
      </c>
      <c r="K212" s="16" t="s">
        <v>45</v>
      </c>
      <c r="L212" s="16" t="s">
        <v>46</v>
      </c>
      <c r="M212" s="15">
        <v>45257</v>
      </c>
      <c r="N212" s="17">
        <v>179.98</v>
      </c>
    </row>
    <row r="213" spans="1:14" x14ac:dyDescent="0.3">
      <c r="A213" s="16" t="s">
        <v>386</v>
      </c>
      <c r="B213" s="15">
        <v>45705</v>
      </c>
      <c r="C213" s="16" t="s">
        <v>164</v>
      </c>
      <c r="D213" s="16" t="s">
        <v>165</v>
      </c>
      <c r="E213" s="16" t="s">
        <v>64</v>
      </c>
      <c r="F213" s="16" t="s">
        <v>65</v>
      </c>
      <c r="G213" s="16" t="s">
        <v>66</v>
      </c>
      <c r="H213" s="17">
        <v>2</v>
      </c>
      <c r="I213" s="17">
        <v>149.99</v>
      </c>
      <c r="J213" s="16" t="s">
        <v>44</v>
      </c>
      <c r="K213" s="16" t="s">
        <v>57</v>
      </c>
      <c r="L213" s="16" t="s">
        <v>50</v>
      </c>
      <c r="M213" s="15">
        <v>44728</v>
      </c>
      <c r="N213" s="17">
        <v>299.98</v>
      </c>
    </row>
    <row r="214" spans="1:14" x14ac:dyDescent="0.3">
      <c r="A214" s="16" t="s">
        <v>387</v>
      </c>
      <c r="B214" s="15">
        <v>45707</v>
      </c>
      <c r="C214" s="16" t="s">
        <v>118</v>
      </c>
      <c r="D214" s="16" t="s">
        <v>119</v>
      </c>
      <c r="E214" s="16" t="s">
        <v>90</v>
      </c>
      <c r="F214" s="16" t="s">
        <v>91</v>
      </c>
      <c r="G214" s="16" t="s">
        <v>43</v>
      </c>
      <c r="H214" s="17">
        <v>5</v>
      </c>
      <c r="I214" s="17">
        <v>699.99</v>
      </c>
      <c r="J214" s="16" t="s">
        <v>56</v>
      </c>
      <c r="K214" s="16" t="s">
        <v>57</v>
      </c>
      <c r="L214" s="16" t="s">
        <v>50</v>
      </c>
      <c r="M214" s="15">
        <v>45352</v>
      </c>
      <c r="N214" s="17">
        <v>3499.95</v>
      </c>
    </row>
    <row r="215" spans="1:14" x14ac:dyDescent="0.3">
      <c r="A215" s="16" t="s">
        <v>388</v>
      </c>
      <c r="B215" s="15">
        <v>45707</v>
      </c>
      <c r="C215" s="16" t="s">
        <v>62</v>
      </c>
      <c r="D215" s="16" t="s">
        <v>63</v>
      </c>
      <c r="E215" s="16" t="s">
        <v>64</v>
      </c>
      <c r="F215" s="16" t="s">
        <v>65</v>
      </c>
      <c r="G215" s="16" t="s">
        <v>66</v>
      </c>
      <c r="H215" s="17">
        <v>3</v>
      </c>
      <c r="I215" s="17">
        <v>149.99</v>
      </c>
      <c r="J215" s="16" t="s">
        <v>56</v>
      </c>
      <c r="K215" s="16" t="s">
        <v>45</v>
      </c>
      <c r="L215" s="16" t="s">
        <v>58</v>
      </c>
      <c r="M215" s="15">
        <v>44633</v>
      </c>
      <c r="N215" s="17">
        <v>449.97</v>
      </c>
    </row>
    <row r="216" spans="1:14" x14ac:dyDescent="0.3">
      <c r="A216" s="16" t="s">
        <v>389</v>
      </c>
      <c r="B216" s="15">
        <v>45708</v>
      </c>
      <c r="C216" s="16" t="s">
        <v>100</v>
      </c>
      <c r="D216" s="16" t="s">
        <v>101</v>
      </c>
      <c r="E216" s="16" t="s">
        <v>77</v>
      </c>
      <c r="F216" s="16" t="s">
        <v>78</v>
      </c>
      <c r="G216" s="16" t="s">
        <v>43</v>
      </c>
      <c r="H216" s="17">
        <v>3</v>
      </c>
      <c r="I216" s="17">
        <v>899.99</v>
      </c>
      <c r="J216" s="16" t="s">
        <v>44</v>
      </c>
      <c r="K216" s="16" t="s">
        <v>79</v>
      </c>
      <c r="L216" s="16" t="s">
        <v>58</v>
      </c>
      <c r="M216" s="15">
        <v>44613</v>
      </c>
      <c r="N216" s="17">
        <v>2699.97</v>
      </c>
    </row>
    <row r="217" spans="1:14" x14ac:dyDescent="0.3">
      <c r="A217" s="16" t="s">
        <v>390</v>
      </c>
      <c r="B217" s="15">
        <v>45708</v>
      </c>
      <c r="C217" s="16" t="s">
        <v>148</v>
      </c>
      <c r="D217" s="16" t="s">
        <v>149</v>
      </c>
      <c r="E217" s="16" t="s">
        <v>120</v>
      </c>
      <c r="F217" s="16" t="s">
        <v>121</v>
      </c>
      <c r="G217" s="16" t="s">
        <v>66</v>
      </c>
      <c r="H217" s="17">
        <v>3</v>
      </c>
      <c r="I217" s="17">
        <v>199.99</v>
      </c>
      <c r="J217" s="16" t="s">
        <v>44</v>
      </c>
      <c r="K217" s="16" t="s">
        <v>69</v>
      </c>
      <c r="L217" s="16" t="s">
        <v>50</v>
      </c>
      <c r="M217" s="15">
        <v>44823</v>
      </c>
      <c r="N217" s="17">
        <v>599.97</v>
      </c>
    </row>
    <row r="218" spans="1:14" x14ac:dyDescent="0.3">
      <c r="A218" s="16" t="s">
        <v>391</v>
      </c>
      <c r="B218" s="15">
        <v>45710</v>
      </c>
      <c r="C218" s="16" t="s">
        <v>72</v>
      </c>
      <c r="D218" s="16" t="s">
        <v>73</v>
      </c>
      <c r="E218" s="16" t="s">
        <v>106</v>
      </c>
      <c r="F218" s="16" t="s">
        <v>107</v>
      </c>
      <c r="G218" s="16" t="s">
        <v>66</v>
      </c>
      <c r="H218" s="17">
        <v>5</v>
      </c>
      <c r="I218" s="17">
        <v>299.99</v>
      </c>
      <c r="J218" s="16" t="s">
        <v>44</v>
      </c>
      <c r="K218" s="16" t="s">
        <v>69</v>
      </c>
      <c r="L218" s="16" t="s">
        <v>58</v>
      </c>
      <c r="M218" s="15">
        <v>45142</v>
      </c>
      <c r="N218" s="17">
        <v>1499.95</v>
      </c>
    </row>
    <row r="219" spans="1:14" x14ac:dyDescent="0.3">
      <c r="A219" s="16" t="s">
        <v>392</v>
      </c>
      <c r="B219" s="15">
        <v>45710</v>
      </c>
      <c r="C219" s="16" t="s">
        <v>134</v>
      </c>
      <c r="D219" s="16" t="s">
        <v>135</v>
      </c>
      <c r="E219" s="16" t="s">
        <v>90</v>
      </c>
      <c r="F219" s="16" t="s">
        <v>91</v>
      </c>
      <c r="G219" s="16" t="s">
        <v>43</v>
      </c>
      <c r="H219" s="17">
        <v>1</v>
      </c>
      <c r="I219" s="17">
        <v>699.99</v>
      </c>
      <c r="J219" s="16" t="s">
        <v>56</v>
      </c>
      <c r="K219" s="16" t="s">
        <v>69</v>
      </c>
      <c r="L219" s="16" t="s">
        <v>46</v>
      </c>
      <c r="M219" s="15">
        <v>44934</v>
      </c>
      <c r="N219" s="17">
        <v>699.99</v>
      </c>
    </row>
    <row r="220" spans="1:14" x14ac:dyDescent="0.3">
      <c r="A220" s="16" t="s">
        <v>393</v>
      </c>
      <c r="B220" s="15">
        <v>45711</v>
      </c>
      <c r="C220" s="16" t="s">
        <v>160</v>
      </c>
      <c r="D220" s="16" t="s">
        <v>161</v>
      </c>
      <c r="E220" s="16" t="s">
        <v>90</v>
      </c>
      <c r="F220" s="16" t="s">
        <v>91</v>
      </c>
      <c r="G220" s="16" t="s">
        <v>43</v>
      </c>
      <c r="H220" s="17">
        <v>1</v>
      </c>
      <c r="I220" s="17">
        <v>699.99</v>
      </c>
      <c r="J220" s="16" t="s">
        <v>44</v>
      </c>
      <c r="K220" s="16" t="s">
        <v>61</v>
      </c>
      <c r="L220" s="16" t="s">
        <v>50</v>
      </c>
      <c r="M220" s="15">
        <v>44583</v>
      </c>
      <c r="N220" s="17">
        <v>699.99</v>
      </c>
    </row>
    <row r="221" spans="1:14" x14ac:dyDescent="0.3">
      <c r="A221" s="16" t="s">
        <v>394</v>
      </c>
      <c r="B221" s="15">
        <v>45711</v>
      </c>
      <c r="C221" s="16" t="s">
        <v>170</v>
      </c>
      <c r="D221" s="16" t="s">
        <v>171</v>
      </c>
      <c r="E221" s="16" t="s">
        <v>64</v>
      </c>
      <c r="F221" s="16" t="s">
        <v>65</v>
      </c>
      <c r="G221" s="16" t="s">
        <v>66</v>
      </c>
      <c r="H221" s="17">
        <v>4</v>
      </c>
      <c r="I221" s="17">
        <v>149.99</v>
      </c>
      <c r="J221" s="16" t="s">
        <v>56</v>
      </c>
      <c r="K221" s="16" t="s">
        <v>61</v>
      </c>
      <c r="L221" s="16" t="s">
        <v>50</v>
      </c>
      <c r="M221" s="15">
        <v>44412</v>
      </c>
      <c r="N221" s="17">
        <v>599.96</v>
      </c>
    </row>
    <row r="222" spans="1:14" x14ac:dyDescent="0.3">
      <c r="A222" s="16" t="s">
        <v>395</v>
      </c>
      <c r="B222" s="15">
        <v>45711</v>
      </c>
      <c r="C222" s="16" t="s">
        <v>152</v>
      </c>
      <c r="D222" s="16" t="s">
        <v>153</v>
      </c>
      <c r="E222" s="16" t="s">
        <v>114</v>
      </c>
      <c r="F222" s="16" t="s">
        <v>115</v>
      </c>
      <c r="G222" s="16" t="s">
        <v>43</v>
      </c>
      <c r="H222" s="17">
        <v>5</v>
      </c>
      <c r="I222" s="17">
        <v>89.99</v>
      </c>
      <c r="J222" s="16" t="s">
        <v>56</v>
      </c>
      <c r="K222" s="16" t="s">
        <v>69</v>
      </c>
      <c r="L222" s="16" t="s">
        <v>50</v>
      </c>
      <c r="M222" s="15">
        <v>45140</v>
      </c>
      <c r="N222" s="17">
        <v>449.95</v>
      </c>
    </row>
    <row r="223" spans="1:14" x14ac:dyDescent="0.3">
      <c r="A223" s="16" t="s">
        <v>396</v>
      </c>
      <c r="B223" s="15">
        <v>45712</v>
      </c>
      <c r="C223" s="16" t="s">
        <v>126</v>
      </c>
      <c r="D223" s="16" t="s">
        <v>127</v>
      </c>
      <c r="E223" s="16" t="s">
        <v>120</v>
      </c>
      <c r="F223" s="16" t="s">
        <v>121</v>
      </c>
      <c r="G223" s="16" t="s">
        <v>66</v>
      </c>
      <c r="H223" s="17">
        <v>2</v>
      </c>
      <c r="I223" s="17">
        <v>199.99</v>
      </c>
      <c r="J223" s="16" t="s">
        <v>44</v>
      </c>
      <c r="K223" s="16" t="s">
        <v>45</v>
      </c>
      <c r="L223" s="16" t="s">
        <v>50</v>
      </c>
      <c r="M223" s="15">
        <v>44573</v>
      </c>
      <c r="N223" s="17">
        <v>399.98</v>
      </c>
    </row>
    <row r="224" spans="1:14" x14ac:dyDescent="0.3">
      <c r="A224" s="16" t="s">
        <v>397</v>
      </c>
      <c r="B224" s="15">
        <v>45715</v>
      </c>
      <c r="C224" s="16" t="s">
        <v>164</v>
      </c>
      <c r="D224" s="16" t="s">
        <v>165</v>
      </c>
      <c r="E224" s="16" t="s">
        <v>53</v>
      </c>
      <c r="F224" s="16" t="s">
        <v>54</v>
      </c>
      <c r="G224" s="16" t="s">
        <v>55</v>
      </c>
      <c r="H224" s="17">
        <v>4</v>
      </c>
      <c r="I224" s="17">
        <v>59.99</v>
      </c>
      <c r="J224" s="16" t="s">
        <v>44</v>
      </c>
      <c r="K224" s="16" t="s">
        <v>69</v>
      </c>
      <c r="L224" s="16" t="s">
        <v>58</v>
      </c>
      <c r="M224" s="15">
        <v>45070</v>
      </c>
      <c r="N224" s="17">
        <v>239.96</v>
      </c>
    </row>
    <row r="225" spans="1:14" x14ac:dyDescent="0.3">
      <c r="A225" s="16" t="s">
        <v>398</v>
      </c>
      <c r="B225" s="15">
        <v>45715</v>
      </c>
      <c r="C225" s="16" t="s">
        <v>98</v>
      </c>
      <c r="D225" s="16" t="s">
        <v>99</v>
      </c>
      <c r="E225" s="16" t="s">
        <v>106</v>
      </c>
      <c r="F225" s="16" t="s">
        <v>107</v>
      </c>
      <c r="G225" s="16" t="s">
        <v>66</v>
      </c>
      <c r="H225" s="17">
        <v>2</v>
      </c>
      <c r="I225" s="17">
        <v>299.99</v>
      </c>
      <c r="J225" s="16" t="s">
        <v>56</v>
      </c>
      <c r="K225" s="16" t="s">
        <v>57</v>
      </c>
      <c r="L225" s="16" t="s">
        <v>46</v>
      </c>
      <c r="M225" s="15">
        <v>44576</v>
      </c>
      <c r="N225" s="17">
        <v>599.98</v>
      </c>
    </row>
    <row r="226" spans="1:14" x14ac:dyDescent="0.3">
      <c r="A226" s="16" t="s">
        <v>399</v>
      </c>
      <c r="B226" s="15">
        <v>45718</v>
      </c>
      <c r="C226" s="16" t="s">
        <v>72</v>
      </c>
      <c r="D226" s="16" t="s">
        <v>73</v>
      </c>
      <c r="E226" s="16" t="s">
        <v>64</v>
      </c>
      <c r="F226" s="16" t="s">
        <v>65</v>
      </c>
      <c r="G226" s="16" t="s">
        <v>66</v>
      </c>
      <c r="H226" s="17">
        <v>2</v>
      </c>
      <c r="I226" s="17">
        <v>149.99</v>
      </c>
      <c r="J226" s="16" t="s">
        <v>44</v>
      </c>
      <c r="K226" s="16" t="s">
        <v>45</v>
      </c>
      <c r="L226" s="16" t="s">
        <v>46</v>
      </c>
      <c r="M226" s="15">
        <v>45068</v>
      </c>
      <c r="N226" s="17">
        <v>299.98</v>
      </c>
    </row>
    <row r="227" spans="1:14" x14ac:dyDescent="0.3">
      <c r="A227" s="16" t="s">
        <v>400</v>
      </c>
      <c r="B227" s="15">
        <v>45720</v>
      </c>
      <c r="C227" s="16" t="s">
        <v>154</v>
      </c>
      <c r="D227" s="16" t="s">
        <v>155</v>
      </c>
      <c r="E227" s="16" t="s">
        <v>90</v>
      </c>
      <c r="F227" s="16" t="s">
        <v>91</v>
      </c>
      <c r="G227" s="16" t="s">
        <v>43</v>
      </c>
      <c r="H227" s="17">
        <v>5</v>
      </c>
      <c r="I227" s="17">
        <v>699.99</v>
      </c>
      <c r="J227" s="16" t="s">
        <v>74</v>
      </c>
      <c r="K227" s="16" t="s">
        <v>79</v>
      </c>
      <c r="L227" s="16" t="s">
        <v>50</v>
      </c>
      <c r="M227" s="15">
        <v>45161</v>
      </c>
      <c r="N227" s="17">
        <v>3499.95</v>
      </c>
    </row>
    <row r="228" spans="1:14" x14ac:dyDescent="0.3">
      <c r="A228" s="16" t="s">
        <v>401</v>
      </c>
      <c r="B228" s="15">
        <v>45721</v>
      </c>
      <c r="C228" s="16" t="s">
        <v>86</v>
      </c>
      <c r="D228" s="16" t="s">
        <v>87</v>
      </c>
      <c r="E228" s="16" t="s">
        <v>53</v>
      </c>
      <c r="F228" s="16" t="s">
        <v>54</v>
      </c>
      <c r="G228" s="16" t="s">
        <v>55</v>
      </c>
      <c r="H228" s="17">
        <v>5</v>
      </c>
      <c r="I228" s="17">
        <v>59.99</v>
      </c>
      <c r="J228" s="16" t="s">
        <v>44</v>
      </c>
      <c r="K228" s="16" t="s">
        <v>69</v>
      </c>
      <c r="L228" s="16" t="s">
        <v>50</v>
      </c>
      <c r="M228" s="15">
        <v>45291</v>
      </c>
      <c r="N228" s="17">
        <v>299.95</v>
      </c>
    </row>
    <row r="229" spans="1:14" x14ac:dyDescent="0.3">
      <c r="A229" s="16" t="s">
        <v>402</v>
      </c>
      <c r="B229" s="15">
        <v>45723</v>
      </c>
      <c r="C229" s="16" t="s">
        <v>39</v>
      </c>
      <c r="D229" s="16" t="s">
        <v>40</v>
      </c>
      <c r="E229" s="16" t="s">
        <v>114</v>
      </c>
      <c r="F229" s="16" t="s">
        <v>115</v>
      </c>
      <c r="G229" s="16" t="s">
        <v>43</v>
      </c>
      <c r="H229" s="17">
        <v>2</v>
      </c>
      <c r="I229" s="17">
        <v>89.99</v>
      </c>
      <c r="J229" s="16" t="s">
        <v>49</v>
      </c>
      <c r="K229" s="16" t="s">
        <v>69</v>
      </c>
      <c r="L229" s="16" t="s">
        <v>50</v>
      </c>
      <c r="M229" s="15">
        <v>45295</v>
      </c>
      <c r="N229" s="17">
        <v>179.98</v>
      </c>
    </row>
    <row r="230" spans="1:14" x14ac:dyDescent="0.3">
      <c r="A230" s="16" t="s">
        <v>403</v>
      </c>
      <c r="B230" s="15">
        <v>45723</v>
      </c>
      <c r="C230" s="16" t="s">
        <v>116</v>
      </c>
      <c r="D230" s="16" t="s">
        <v>117</v>
      </c>
      <c r="E230" s="16" t="s">
        <v>41</v>
      </c>
      <c r="F230" s="16" t="s">
        <v>42</v>
      </c>
      <c r="G230" s="16" t="s">
        <v>43</v>
      </c>
      <c r="H230" s="17">
        <v>5</v>
      </c>
      <c r="I230" s="17">
        <v>249.99</v>
      </c>
      <c r="J230" s="16" t="s">
        <v>44</v>
      </c>
      <c r="K230" s="16" t="s">
        <v>79</v>
      </c>
      <c r="L230" s="16" t="s">
        <v>58</v>
      </c>
      <c r="M230" s="15">
        <v>44540</v>
      </c>
      <c r="N230" s="17">
        <v>1249.95</v>
      </c>
    </row>
    <row r="231" spans="1:14" x14ac:dyDescent="0.3">
      <c r="A231" s="16" t="s">
        <v>404</v>
      </c>
      <c r="B231" s="15">
        <v>45724</v>
      </c>
      <c r="C231" s="16" t="s">
        <v>154</v>
      </c>
      <c r="D231" s="16" t="s">
        <v>155</v>
      </c>
      <c r="E231" s="16" t="s">
        <v>64</v>
      </c>
      <c r="F231" s="16" t="s">
        <v>65</v>
      </c>
      <c r="G231" s="16" t="s">
        <v>66</v>
      </c>
      <c r="H231" s="17">
        <v>2</v>
      </c>
      <c r="I231" s="17">
        <v>149.99</v>
      </c>
      <c r="J231" s="16" t="s">
        <v>56</v>
      </c>
      <c r="K231" s="16" t="s">
        <v>45</v>
      </c>
      <c r="L231" s="16" t="s">
        <v>50</v>
      </c>
      <c r="M231" s="15">
        <v>44632</v>
      </c>
      <c r="N231" s="17">
        <v>299.98</v>
      </c>
    </row>
    <row r="232" spans="1:14" x14ac:dyDescent="0.3">
      <c r="A232" s="16" t="s">
        <v>405</v>
      </c>
      <c r="B232" s="15">
        <v>45724</v>
      </c>
      <c r="C232" s="16" t="s">
        <v>130</v>
      </c>
      <c r="D232" s="16" t="s">
        <v>131</v>
      </c>
      <c r="E232" s="16" t="s">
        <v>77</v>
      </c>
      <c r="F232" s="16" t="s">
        <v>78</v>
      </c>
      <c r="G232" s="16" t="s">
        <v>43</v>
      </c>
      <c r="H232" s="17">
        <v>5</v>
      </c>
      <c r="I232" s="17">
        <v>899.99</v>
      </c>
      <c r="J232" s="16" t="s">
        <v>56</v>
      </c>
      <c r="K232" s="16" t="s">
        <v>79</v>
      </c>
      <c r="L232" s="16" t="s">
        <v>50</v>
      </c>
      <c r="M232" s="15">
        <v>45389</v>
      </c>
      <c r="N232" s="17">
        <v>4499.95</v>
      </c>
    </row>
    <row r="233" spans="1:14" x14ac:dyDescent="0.3">
      <c r="A233" s="16" t="s">
        <v>406</v>
      </c>
      <c r="B233" s="15">
        <v>45724</v>
      </c>
      <c r="C233" s="16" t="s">
        <v>72</v>
      </c>
      <c r="D233" s="16" t="s">
        <v>73</v>
      </c>
      <c r="E233" s="16" t="s">
        <v>64</v>
      </c>
      <c r="F233" s="16" t="s">
        <v>65</v>
      </c>
      <c r="G233" s="16" t="s">
        <v>66</v>
      </c>
      <c r="H233" s="17">
        <v>4</v>
      </c>
      <c r="I233" s="17">
        <v>149.99</v>
      </c>
      <c r="J233" s="16" t="s">
        <v>44</v>
      </c>
      <c r="K233" s="16" t="s">
        <v>45</v>
      </c>
      <c r="L233" s="16" t="s">
        <v>58</v>
      </c>
      <c r="M233" s="15">
        <v>45263</v>
      </c>
      <c r="N233" s="17">
        <v>599.96</v>
      </c>
    </row>
    <row r="234" spans="1:14" x14ac:dyDescent="0.3">
      <c r="A234" s="16" t="s">
        <v>407</v>
      </c>
      <c r="B234" s="15">
        <v>45726</v>
      </c>
      <c r="C234" s="16" t="s">
        <v>130</v>
      </c>
      <c r="D234" s="16" t="s">
        <v>131</v>
      </c>
      <c r="E234" s="16" t="s">
        <v>41</v>
      </c>
      <c r="F234" s="16" t="s">
        <v>42</v>
      </c>
      <c r="G234" s="16" t="s">
        <v>43</v>
      </c>
      <c r="H234" s="17">
        <v>1</v>
      </c>
      <c r="I234" s="17">
        <v>249.99</v>
      </c>
      <c r="J234" s="16" t="s">
        <v>44</v>
      </c>
      <c r="K234" s="16" t="s">
        <v>61</v>
      </c>
      <c r="L234" s="16" t="s">
        <v>58</v>
      </c>
      <c r="M234" s="15">
        <v>45117</v>
      </c>
      <c r="N234" s="17">
        <v>249.99</v>
      </c>
    </row>
    <row r="235" spans="1:14" x14ac:dyDescent="0.3">
      <c r="A235" s="16" t="s">
        <v>408</v>
      </c>
      <c r="B235" s="15">
        <v>45734</v>
      </c>
      <c r="C235" s="16" t="s">
        <v>148</v>
      </c>
      <c r="D235" s="16" t="s">
        <v>149</v>
      </c>
      <c r="E235" s="16" t="s">
        <v>53</v>
      </c>
      <c r="F235" s="16" t="s">
        <v>54</v>
      </c>
      <c r="G235" s="16" t="s">
        <v>55</v>
      </c>
      <c r="H235" s="17">
        <v>2</v>
      </c>
      <c r="I235" s="17">
        <v>59.99</v>
      </c>
      <c r="J235" s="16" t="s">
        <v>49</v>
      </c>
      <c r="K235" s="16" t="s">
        <v>69</v>
      </c>
      <c r="L235" s="16" t="s">
        <v>46</v>
      </c>
      <c r="M235" s="15">
        <v>45193</v>
      </c>
      <c r="N235" s="17">
        <v>119.98</v>
      </c>
    </row>
    <row r="236" spans="1:14" x14ac:dyDescent="0.3">
      <c r="A236" s="16" t="s">
        <v>409</v>
      </c>
      <c r="B236" s="15">
        <v>45737</v>
      </c>
      <c r="C236" s="16" t="s">
        <v>124</v>
      </c>
      <c r="D236" s="16" t="s">
        <v>125</v>
      </c>
      <c r="E236" s="16" t="s">
        <v>64</v>
      </c>
      <c r="F236" s="16" t="s">
        <v>65</v>
      </c>
      <c r="G236" s="16" t="s">
        <v>66</v>
      </c>
      <c r="H236" s="17">
        <v>2</v>
      </c>
      <c r="I236" s="17">
        <v>149.99</v>
      </c>
      <c r="J236" s="16" t="s">
        <v>44</v>
      </c>
      <c r="K236" s="16" t="s">
        <v>69</v>
      </c>
      <c r="L236" s="16" t="s">
        <v>50</v>
      </c>
      <c r="M236" s="15">
        <v>45233</v>
      </c>
      <c r="N236" s="17">
        <v>299.98</v>
      </c>
    </row>
    <row r="237" spans="1:14" x14ac:dyDescent="0.3">
      <c r="A237" s="16" t="s">
        <v>410</v>
      </c>
      <c r="B237" s="15">
        <v>45737</v>
      </c>
      <c r="C237" s="16" t="s">
        <v>134</v>
      </c>
      <c r="D237" s="16" t="s">
        <v>135</v>
      </c>
      <c r="E237" s="16" t="s">
        <v>77</v>
      </c>
      <c r="F237" s="16" t="s">
        <v>78</v>
      </c>
      <c r="G237" s="16" t="s">
        <v>43</v>
      </c>
      <c r="H237" s="17">
        <v>3</v>
      </c>
      <c r="I237" s="17">
        <v>899.99</v>
      </c>
      <c r="J237" s="16" t="s">
        <v>74</v>
      </c>
      <c r="K237" s="16" t="s">
        <v>61</v>
      </c>
      <c r="L237" s="16" t="s">
        <v>50</v>
      </c>
      <c r="M237" s="15">
        <v>44876</v>
      </c>
      <c r="N237" s="17">
        <v>2699.97</v>
      </c>
    </row>
    <row r="238" spans="1:14" x14ac:dyDescent="0.3">
      <c r="A238" s="16" t="s">
        <v>411</v>
      </c>
      <c r="B238" s="15">
        <v>45737</v>
      </c>
      <c r="C238" s="16" t="s">
        <v>67</v>
      </c>
      <c r="D238" s="16" t="s">
        <v>68</v>
      </c>
      <c r="E238" s="16" t="s">
        <v>77</v>
      </c>
      <c r="F238" s="16" t="s">
        <v>78</v>
      </c>
      <c r="G238" s="16" t="s">
        <v>43</v>
      </c>
      <c r="H238" s="17">
        <v>3</v>
      </c>
      <c r="I238" s="17">
        <v>899.99</v>
      </c>
      <c r="J238" s="16" t="s">
        <v>56</v>
      </c>
      <c r="K238" s="16" t="s">
        <v>61</v>
      </c>
      <c r="L238" s="16" t="s">
        <v>46</v>
      </c>
      <c r="M238" s="15">
        <v>44975</v>
      </c>
      <c r="N238" s="17">
        <v>2699.97</v>
      </c>
    </row>
    <row r="239" spans="1:14" x14ac:dyDescent="0.3">
      <c r="A239" s="16" t="s">
        <v>412</v>
      </c>
      <c r="B239" s="15">
        <v>45739</v>
      </c>
      <c r="C239" s="16" t="s">
        <v>39</v>
      </c>
      <c r="D239" s="16" t="s">
        <v>40</v>
      </c>
      <c r="E239" s="16" t="s">
        <v>106</v>
      </c>
      <c r="F239" s="16" t="s">
        <v>107</v>
      </c>
      <c r="G239" s="16" t="s">
        <v>66</v>
      </c>
      <c r="H239" s="17">
        <v>3</v>
      </c>
      <c r="I239" s="17">
        <v>299.99</v>
      </c>
      <c r="J239" s="16" t="s">
        <v>49</v>
      </c>
      <c r="K239" s="16" t="s">
        <v>69</v>
      </c>
      <c r="L239" s="16" t="s">
        <v>50</v>
      </c>
      <c r="M239" s="15">
        <v>45234</v>
      </c>
      <c r="N239" s="17">
        <v>899.97</v>
      </c>
    </row>
    <row r="240" spans="1:14" x14ac:dyDescent="0.3">
      <c r="A240" s="16" t="s">
        <v>413</v>
      </c>
      <c r="B240" s="15">
        <v>45740</v>
      </c>
      <c r="C240" s="16" t="s">
        <v>172</v>
      </c>
      <c r="D240" s="16" t="s">
        <v>173</v>
      </c>
      <c r="E240" s="16" t="s">
        <v>64</v>
      </c>
      <c r="F240" s="16" t="s">
        <v>65</v>
      </c>
      <c r="G240" s="16" t="s">
        <v>66</v>
      </c>
      <c r="H240" s="17">
        <v>4</v>
      </c>
      <c r="I240" s="17">
        <v>149.99</v>
      </c>
      <c r="J240" s="16" t="s">
        <v>56</v>
      </c>
      <c r="K240" s="16" t="s">
        <v>69</v>
      </c>
      <c r="L240" s="16" t="s">
        <v>58</v>
      </c>
      <c r="M240" s="15">
        <v>44560</v>
      </c>
      <c r="N240" s="17">
        <v>599.96</v>
      </c>
    </row>
    <row r="241" spans="1:14" x14ac:dyDescent="0.3">
      <c r="A241" s="16" t="s">
        <v>414</v>
      </c>
      <c r="B241" s="15">
        <v>45743</v>
      </c>
      <c r="C241" s="16" t="s">
        <v>104</v>
      </c>
      <c r="D241" s="16" t="s">
        <v>105</v>
      </c>
      <c r="E241" s="16" t="s">
        <v>112</v>
      </c>
      <c r="F241" s="16" t="s">
        <v>113</v>
      </c>
      <c r="G241" s="16" t="s">
        <v>55</v>
      </c>
      <c r="H241" s="17">
        <v>4</v>
      </c>
      <c r="I241" s="17">
        <v>79.989999999999995</v>
      </c>
      <c r="J241" s="16" t="s">
        <v>49</v>
      </c>
      <c r="K241" s="16" t="s">
        <v>45</v>
      </c>
      <c r="L241" s="16" t="s">
        <v>46</v>
      </c>
      <c r="M241" s="15">
        <v>45288</v>
      </c>
      <c r="N241" s="17">
        <v>319.95999999999998</v>
      </c>
    </row>
    <row r="242" spans="1:14" x14ac:dyDescent="0.3">
      <c r="A242" s="16" t="s">
        <v>415</v>
      </c>
      <c r="B242" s="15">
        <v>45745</v>
      </c>
      <c r="C242" s="16" t="s">
        <v>146</v>
      </c>
      <c r="D242" s="16" t="s">
        <v>147</v>
      </c>
      <c r="E242" s="16" t="s">
        <v>114</v>
      </c>
      <c r="F242" s="16" t="s">
        <v>115</v>
      </c>
      <c r="G242" s="16" t="s">
        <v>43</v>
      </c>
      <c r="H242" s="17">
        <v>5</v>
      </c>
      <c r="I242" s="17">
        <v>89.99</v>
      </c>
      <c r="J242" s="16" t="s">
        <v>56</v>
      </c>
      <c r="K242" s="16" t="s">
        <v>57</v>
      </c>
      <c r="L242" s="16" t="s">
        <v>46</v>
      </c>
      <c r="M242" s="15">
        <v>44704</v>
      </c>
      <c r="N242" s="17">
        <v>449.95</v>
      </c>
    </row>
    <row r="243" spans="1:14" x14ac:dyDescent="0.3">
      <c r="A243" s="16" t="s">
        <v>416</v>
      </c>
      <c r="B243" s="15">
        <v>45746</v>
      </c>
      <c r="C243" s="16" t="s">
        <v>98</v>
      </c>
      <c r="D243" s="16" t="s">
        <v>99</v>
      </c>
      <c r="E243" s="16" t="s">
        <v>64</v>
      </c>
      <c r="F243" s="16" t="s">
        <v>65</v>
      </c>
      <c r="G243" s="16" t="s">
        <v>66</v>
      </c>
      <c r="H243" s="17">
        <v>3</v>
      </c>
      <c r="I243" s="17">
        <v>149.99</v>
      </c>
      <c r="J243" s="16" t="s">
        <v>56</v>
      </c>
      <c r="K243" s="16" t="s">
        <v>45</v>
      </c>
      <c r="L243" s="16" t="s">
        <v>58</v>
      </c>
      <c r="M243" s="15">
        <v>45171</v>
      </c>
      <c r="N243" s="17">
        <v>449.97</v>
      </c>
    </row>
    <row r="244" spans="1:14" x14ac:dyDescent="0.3">
      <c r="A244" s="16" t="s">
        <v>417</v>
      </c>
      <c r="B244" s="15">
        <v>45746</v>
      </c>
      <c r="C244" s="16" t="s">
        <v>80</v>
      </c>
      <c r="D244" s="16" t="s">
        <v>81</v>
      </c>
      <c r="E244" s="16" t="s">
        <v>114</v>
      </c>
      <c r="F244" s="16" t="s">
        <v>115</v>
      </c>
      <c r="G244" s="16" t="s">
        <v>43</v>
      </c>
      <c r="H244" s="17">
        <v>2</v>
      </c>
      <c r="I244" s="17">
        <v>89.99</v>
      </c>
      <c r="J244" s="16" t="s">
        <v>74</v>
      </c>
      <c r="K244" s="16" t="s">
        <v>69</v>
      </c>
      <c r="L244" s="16" t="s">
        <v>50</v>
      </c>
      <c r="M244" s="15">
        <v>44522</v>
      </c>
      <c r="N244" s="17">
        <v>179.98</v>
      </c>
    </row>
    <row r="245" spans="1:14" x14ac:dyDescent="0.3">
      <c r="A245" s="16" t="s">
        <v>418</v>
      </c>
      <c r="B245" s="15">
        <v>45748</v>
      </c>
      <c r="C245" s="16" t="s">
        <v>104</v>
      </c>
      <c r="D245" s="16" t="s">
        <v>105</v>
      </c>
      <c r="E245" s="16" t="s">
        <v>90</v>
      </c>
      <c r="F245" s="16" t="s">
        <v>91</v>
      </c>
      <c r="G245" s="16" t="s">
        <v>43</v>
      </c>
      <c r="H245" s="17">
        <v>2</v>
      </c>
      <c r="I245" s="17">
        <v>699.99</v>
      </c>
      <c r="J245" s="16" t="s">
        <v>56</v>
      </c>
      <c r="K245" s="16" t="s">
        <v>61</v>
      </c>
      <c r="L245" s="16" t="s">
        <v>58</v>
      </c>
      <c r="M245" s="15">
        <v>44618</v>
      </c>
      <c r="N245" s="17">
        <v>1399.98</v>
      </c>
    </row>
    <row r="246" spans="1:14" x14ac:dyDescent="0.3">
      <c r="A246" s="16" t="s">
        <v>419</v>
      </c>
      <c r="B246" s="15">
        <v>45749</v>
      </c>
      <c r="C246" s="16" t="s">
        <v>118</v>
      </c>
      <c r="D246" s="16" t="s">
        <v>119</v>
      </c>
      <c r="E246" s="16" t="s">
        <v>77</v>
      </c>
      <c r="F246" s="16" t="s">
        <v>78</v>
      </c>
      <c r="G246" s="16" t="s">
        <v>43</v>
      </c>
      <c r="H246" s="17">
        <v>3</v>
      </c>
      <c r="I246" s="17">
        <v>899.99</v>
      </c>
      <c r="J246" s="16" t="s">
        <v>44</v>
      </c>
      <c r="K246" s="16" t="s">
        <v>45</v>
      </c>
      <c r="L246" s="16" t="s">
        <v>58</v>
      </c>
      <c r="M246" s="15">
        <v>44953</v>
      </c>
      <c r="N246" s="17">
        <v>2699.97</v>
      </c>
    </row>
    <row r="247" spans="1:14" x14ac:dyDescent="0.3">
      <c r="A247" s="16" t="s">
        <v>420</v>
      </c>
      <c r="B247" s="15">
        <v>45755</v>
      </c>
      <c r="C247" s="16" t="s">
        <v>98</v>
      </c>
      <c r="D247" s="16" t="s">
        <v>99</v>
      </c>
      <c r="E247" s="16" t="s">
        <v>112</v>
      </c>
      <c r="F247" s="16" t="s">
        <v>113</v>
      </c>
      <c r="G247" s="16" t="s">
        <v>55</v>
      </c>
      <c r="H247" s="17">
        <v>3</v>
      </c>
      <c r="I247" s="17">
        <v>79.989999999999995</v>
      </c>
      <c r="J247" s="16" t="s">
        <v>49</v>
      </c>
      <c r="K247" s="16" t="s">
        <v>61</v>
      </c>
      <c r="L247" s="16" t="s">
        <v>46</v>
      </c>
      <c r="M247" s="15">
        <v>44511</v>
      </c>
      <c r="N247" s="17">
        <v>239.97</v>
      </c>
    </row>
    <row r="248" spans="1:14" x14ac:dyDescent="0.3">
      <c r="A248" s="16" t="s">
        <v>421</v>
      </c>
      <c r="B248" s="15">
        <v>45756</v>
      </c>
      <c r="C248" s="16" t="s">
        <v>75</v>
      </c>
      <c r="D248" s="16" t="s">
        <v>76</v>
      </c>
      <c r="E248" s="16" t="s">
        <v>114</v>
      </c>
      <c r="F248" s="16" t="s">
        <v>115</v>
      </c>
      <c r="G248" s="16" t="s">
        <v>43</v>
      </c>
      <c r="H248" s="17">
        <v>1</v>
      </c>
      <c r="I248" s="17">
        <v>89.99</v>
      </c>
      <c r="J248" s="16" t="s">
        <v>74</v>
      </c>
      <c r="K248" s="16" t="s">
        <v>79</v>
      </c>
      <c r="L248" s="16" t="s">
        <v>46</v>
      </c>
      <c r="M248" s="15">
        <v>45346</v>
      </c>
      <c r="N248" s="17">
        <v>89.99</v>
      </c>
    </row>
    <row r="249" spans="1:14" x14ac:dyDescent="0.3">
      <c r="A249" s="16" t="s">
        <v>422</v>
      </c>
      <c r="B249" s="15">
        <v>45758</v>
      </c>
      <c r="C249" s="16" t="s">
        <v>166</v>
      </c>
      <c r="D249" s="16" t="s">
        <v>167</v>
      </c>
      <c r="E249" s="16" t="s">
        <v>90</v>
      </c>
      <c r="F249" s="16" t="s">
        <v>91</v>
      </c>
      <c r="G249" s="16" t="s">
        <v>43</v>
      </c>
      <c r="H249" s="17">
        <v>3</v>
      </c>
      <c r="I249" s="17">
        <v>699.99</v>
      </c>
      <c r="J249" s="16" t="s">
        <v>56</v>
      </c>
      <c r="K249" s="16" t="s">
        <v>61</v>
      </c>
      <c r="L249" s="16" t="s">
        <v>46</v>
      </c>
      <c r="M249" s="15">
        <v>44909</v>
      </c>
      <c r="N249" s="17">
        <v>2099.9699999999998</v>
      </c>
    </row>
    <row r="250" spans="1:14" x14ac:dyDescent="0.3">
      <c r="A250" s="16" t="s">
        <v>423</v>
      </c>
      <c r="B250" s="15">
        <v>45758</v>
      </c>
      <c r="C250" s="16" t="s">
        <v>154</v>
      </c>
      <c r="D250" s="16" t="s">
        <v>155</v>
      </c>
      <c r="E250" s="16" t="s">
        <v>114</v>
      </c>
      <c r="F250" s="16" t="s">
        <v>115</v>
      </c>
      <c r="G250" s="16" t="s">
        <v>43</v>
      </c>
      <c r="H250" s="17">
        <v>2</v>
      </c>
      <c r="I250" s="17">
        <v>89.99</v>
      </c>
      <c r="J250" s="16" t="s">
        <v>74</v>
      </c>
      <c r="K250" s="16" t="s">
        <v>79</v>
      </c>
      <c r="L250" s="16" t="s">
        <v>46</v>
      </c>
      <c r="M250" s="15">
        <v>45088</v>
      </c>
      <c r="N250" s="17">
        <v>179.98</v>
      </c>
    </row>
    <row r="251" spans="1:14" x14ac:dyDescent="0.3">
      <c r="A251" s="16" t="s">
        <v>424</v>
      </c>
      <c r="B251" s="15">
        <v>45758</v>
      </c>
      <c r="C251" s="16" t="s">
        <v>126</v>
      </c>
      <c r="D251" s="16" t="s">
        <v>127</v>
      </c>
      <c r="E251" s="16" t="s">
        <v>114</v>
      </c>
      <c r="F251" s="16" t="s">
        <v>115</v>
      </c>
      <c r="G251" s="16" t="s">
        <v>43</v>
      </c>
      <c r="H251" s="17">
        <v>3</v>
      </c>
      <c r="I251" s="17">
        <v>89.99</v>
      </c>
      <c r="J251" s="16" t="s">
        <v>74</v>
      </c>
      <c r="K251" s="16" t="s">
        <v>61</v>
      </c>
      <c r="L251" s="16" t="s">
        <v>50</v>
      </c>
      <c r="M251" s="15">
        <v>44878</v>
      </c>
      <c r="N251" s="17">
        <v>269.97000000000003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BB663-0B86-45D9-9DD0-CF8FDB2220B1}">
  <dimension ref="A1:B15"/>
  <sheetViews>
    <sheetView workbookViewId="0">
      <selection activeCell="E11" sqref="E11"/>
    </sheetView>
  </sheetViews>
  <sheetFormatPr defaultRowHeight="14.4" x14ac:dyDescent="0.3"/>
  <cols>
    <col min="1" max="1" width="17.21875" customWidth="1"/>
  </cols>
  <sheetData>
    <row r="1" spans="1:2" x14ac:dyDescent="0.3">
      <c r="A1" s="31" t="s">
        <v>432</v>
      </c>
      <c r="B1" s="31"/>
    </row>
    <row r="2" spans="1:2" x14ac:dyDescent="0.3">
      <c r="A2" s="32"/>
      <c r="B2" s="32"/>
    </row>
    <row r="3" spans="1:2" x14ac:dyDescent="0.3">
      <c r="A3" s="32" t="s">
        <v>433</v>
      </c>
      <c r="B3" s="32">
        <v>296.67000000000007</v>
      </c>
    </row>
    <row r="4" spans="1:2" x14ac:dyDescent="0.3">
      <c r="A4" s="32" t="s">
        <v>434</v>
      </c>
      <c r="B4" s="32">
        <v>17.38168005707238</v>
      </c>
    </row>
    <row r="5" spans="1:2" x14ac:dyDescent="0.3">
      <c r="A5" s="32" t="s">
        <v>435</v>
      </c>
      <c r="B5" s="32">
        <v>149.99</v>
      </c>
    </row>
    <row r="6" spans="1:2" x14ac:dyDescent="0.3">
      <c r="A6" s="32" t="s">
        <v>436</v>
      </c>
      <c r="B6" s="32">
        <v>149.99</v>
      </c>
    </row>
    <row r="7" spans="1:2" x14ac:dyDescent="0.3">
      <c r="A7" s="32" t="s">
        <v>437</v>
      </c>
      <c r="B7" s="32">
        <v>274.82849270337113</v>
      </c>
    </row>
    <row r="8" spans="1:2" x14ac:dyDescent="0.3">
      <c r="A8" s="32" t="s">
        <v>438</v>
      </c>
      <c r="B8" s="32">
        <v>75530.700401606926</v>
      </c>
    </row>
    <row r="9" spans="1:2" x14ac:dyDescent="0.3">
      <c r="A9" s="32" t="s">
        <v>439</v>
      </c>
      <c r="B9" s="32">
        <v>-1.1870639619440126E-3</v>
      </c>
    </row>
    <row r="10" spans="1:2" x14ac:dyDescent="0.3">
      <c r="A10" s="32" t="s">
        <v>440</v>
      </c>
      <c r="B10" s="32">
        <v>1.2287171928821725</v>
      </c>
    </row>
    <row r="11" spans="1:2" x14ac:dyDescent="0.3">
      <c r="A11" s="32" t="s">
        <v>441</v>
      </c>
      <c r="B11" s="32">
        <v>840</v>
      </c>
    </row>
    <row r="12" spans="1:2" x14ac:dyDescent="0.3">
      <c r="A12" s="32" t="s">
        <v>442</v>
      </c>
      <c r="B12" s="32">
        <v>59.99</v>
      </c>
    </row>
    <row r="13" spans="1:2" x14ac:dyDescent="0.3">
      <c r="A13" s="32" t="s">
        <v>443</v>
      </c>
      <c r="B13" s="32">
        <v>899.99</v>
      </c>
    </row>
    <row r="14" spans="1:2" x14ac:dyDescent="0.3">
      <c r="A14" s="32" t="s">
        <v>444</v>
      </c>
      <c r="B14" s="32">
        <v>74167.500000000015</v>
      </c>
    </row>
    <row r="15" spans="1:2" x14ac:dyDescent="0.3">
      <c r="A15" s="32" t="s">
        <v>445</v>
      </c>
      <c r="B15" s="32">
        <v>250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DA0FF-A013-4867-8443-F39468A20BE7}">
  <dimension ref="A1:J18"/>
  <sheetViews>
    <sheetView workbookViewId="0">
      <selection activeCell="J8" sqref="J8"/>
    </sheetView>
  </sheetViews>
  <sheetFormatPr defaultRowHeight="14.4" x14ac:dyDescent="0.3"/>
  <cols>
    <col min="1" max="1" width="17.5546875" customWidth="1"/>
    <col min="2" max="2" width="11.44140625" customWidth="1"/>
    <col min="3" max="3" width="13.21875" customWidth="1"/>
    <col min="4" max="4" width="10.77734375" customWidth="1"/>
    <col min="5" max="5" width="11.33203125" customWidth="1"/>
    <col min="6" max="6" width="12.21875" customWidth="1"/>
    <col min="7" max="7" width="11" customWidth="1"/>
    <col min="8" max="8" width="12.33203125" customWidth="1"/>
    <col min="9" max="9" width="11.88671875" customWidth="1"/>
  </cols>
  <sheetData>
    <row r="1" spans="1:10" x14ac:dyDescent="0.3">
      <c r="A1" s="19" t="s">
        <v>446</v>
      </c>
      <c r="B1" s="19"/>
      <c r="C1" s="18"/>
      <c r="D1" s="18"/>
      <c r="E1" s="18"/>
      <c r="F1" s="18"/>
      <c r="G1" s="18"/>
      <c r="H1" s="18"/>
      <c r="I1" s="18"/>
      <c r="J1" s="18"/>
    </row>
    <row r="2" spans="1:10" x14ac:dyDescent="0.3">
      <c r="A2" s="18"/>
      <c r="B2" s="18"/>
      <c r="C2" s="18"/>
      <c r="D2" s="18"/>
      <c r="E2" s="18"/>
      <c r="F2" s="18"/>
      <c r="G2" s="18"/>
      <c r="H2" s="18"/>
      <c r="I2" s="18"/>
      <c r="J2" s="18"/>
    </row>
    <row r="3" spans="1:10" x14ac:dyDescent="0.3">
      <c r="A3" s="34" t="s">
        <v>447</v>
      </c>
      <c r="B3" s="34"/>
      <c r="C3" s="18"/>
      <c r="D3" s="18"/>
      <c r="E3" s="18"/>
      <c r="F3" s="18"/>
      <c r="G3" s="18"/>
      <c r="H3" s="18"/>
      <c r="I3" s="18"/>
      <c r="J3" s="18"/>
    </row>
    <row r="4" spans="1:10" x14ac:dyDescent="0.3">
      <c r="A4" s="38" t="s">
        <v>448</v>
      </c>
      <c r="B4" s="38">
        <v>0.83544893212536542</v>
      </c>
      <c r="C4" s="18"/>
      <c r="D4" s="18"/>
      <c r="E4" s="18"/>
      <c r="F4" s="18"/>
      <c r="G4" s="18"/>
      <c r="H4" s="18"/>
      <c r="I4" s="18"/>
      <c r="J4" s="18"/>
    </row>
    <row r="5" spans="1:10" x14ac:dyDescent="0.3">
      <c r="A5" s="38" t="s">
        <v>449</v>
      </c>
      <c r="B5" s="38">
        <v>0.69797491818941348</v>
      </c>
      <c r="C5" s="18"/>
      <c r="D5" s="18"/>
      <c r="E5" s="18"/>
      <c r="F5" s="18"/>
      <c r="G5" s="18"/>
      <c r="H5" s="18"/>
      <c r="I5" s="18"/>
      <c r="J5" s="18"/>
    </row>
    <row r="6" spans="1:10" x14ac:dyDescent="0.3">
      <c r="A6" s="38" t="s">
        <v>450</v>
      </c>
      <c r="B6" s="38">
        <v>0.69675707511759655</v>
      </c>
      <c r="C6" s="18"/>
      <c r="D6" s="18"/>
      <c r="E6" s="18"/>
      <c r="F6" s="18"/>
      <c r="G6" s="18"/>
      <c r="H6" s="18"/>
      <c r="I6" s="18"/>
      <c r="J6" s="18"/>
    </row>
    <row r="7" spans="1:10" x14ac:dyDescent="0.3">
      <c r="A7" s="38" t="s">
        <v>434</v>
      </c>
      <c r="B7" s="38">
        <v>568.54608194947468</v>
      </c>
      <c r="C7" s="18"/>
      <c r="D7" s="18"/>
      <c r="E7" s="18"/>
      <c r="F7" s="18"/>
      <c r="G7" s="18"/>
      <c r="H7" s="18"/>
      <c r="I7" s="18"/>
      <c r="J7" s="18"/>
    </row>
    <row r="8" spans="1:10" x14ac:dyDescent="0.3">
      <c r="A8" s="38" t="s">
        <v>451</v>
      </c>
      <c r="B8" s="38">
        <v>250</v>
      </c>
      <c r="C8" s="18"/>
      <c r="D8" s="18"/>
      <c r="E8" s="18"/>
      <c r="F8" s="18"/>
      <c r="G8" s="18"/>
      <c r="H8" s="18"/>
      <c r="I8" s="18"/>
      <c r="J8" s="18"/>
    </row>
    <row r="9" spans="1:10" x14ac:dyDescent="0.3">
      <c r="A9" s="18"/>
      <c r="B9" s="18"/>
      <c r="C9" s="18"/>
      <c r="D9" s="18"/>
      <c r="E9" s="18"/>
      <c r="F9" s="18"/>
      <c r="G9" s="18"/>
      <c r="H9" s="18"/>
      <c r="I9" s="18"/>
      <c r="J9" s="18"/>
    </row>
    <row r="10" spans="1:10" x14ac:dyDescent="0.3">
      <c r="A10" s="35" t="s">
        <v>452</v>
      </c>
      <c r="B10" s="37"/>
      <c r="C10" s="37"/>
      <c r="D10" s="37"/>
      <c r="E10" s="37"/>
      <c r="F10" s="37"/>
      <c r="G10" s="37"/>
      <c r="H10" s="18"/>
      <c r="I10" s="18"/>
      <c r="J10" s="18"/>
    </row>
    <row r="11" spans="1:10" x14ac:dyDescent="0.3">
      <c r="A11" s="36"/>
      <c r="B11" s="36" t="s">
        <v>457</v>
      </c>
      <c r="C11" s="36" t="s">
        <v>458</v>
      </c>
      <c r="D11" s="36" t="s">
        <v>459</v>
      </c>
      <c r="E11" s="36" t="s">
        <v>460</v>
      </c>
      <c r="F11" s="36" t="s">
        <v>461</v>
      </c>
      <c r="G11" s="37"/>
      <c r="H11" s="18"/>
      <c r="I11" s="18"/>
      <c r="J11" s="18"/>
    </row>
    <row r="12" spans="1:10" x14ac:dyDescent="0.3">
      <c r="A12" s="38" t="s">
        <v>453</v>
      </c>
      <c r="B12" s="38">
        <v>1</v>
      </c>
      <c r="C12" s="38">
        <v>185259218.92207199</v>
      </c>
      <c r="D12" s="38">
        <v>185259218.92207199</v>
      </c>
      <c r="E12" s="38">
        <v>573.12385671178106</v>
      </c>
      <c r="F12" s="38">
        <v>2.0274087953767249E-66</v>
      </c>
      <c r="G12" s="18"/>
      <c r="H12" s="18"/>
      <c r="I12" s="18"/>
      <c r="J12" s="18"/>
    </row>
    <row r="13" spans="1:10" x14ac:dyDescent="0.3">
      <c r="A13" s="38" t="s">
        <v>454</v>
      </c>
      <c r="B13" s="38">
        <v>248</v>
      </c>
      <c r="C13" s="38">
        <v>80164672.530424491</v>
      </c>
      <c r="D13" s="38">
        <v>323244.64730009873</v>
      </c>
      <c r="E13" s="38"/>
      <c r="F13" s="38"/>
      <c r="G13" s="18"/>
      <c r="H13" s="18"/>
      <c r="I13" s="18"/>
      <c r="J13" s="18"/>
    </row>
    <row r="14" spans="1:10" x14ac:dyDescent="0.3">
      <c r="A14" s="38" t="s">
        <v>455</v>
      </c>
      <c r="B14" s="38">
        <v>249</v>
      </c>
      <c r="C14" s="38">
        <v>265423891.45249647</v>
      </c>
      <c r="D14" s="38"/>
      <c r="E14" s="38"/>
      <c r="F14" s="38"/>
      <c r="G14" s="18"/>
      <c r="H14" s="18"/>
      <c r="I14" s="18"/>
      <c r="J14" s="18"/>
    </row>
    <row r="15" spans="1:10" x14ac:dyDescent="0.3">
      <c r="A15" s="37"/>
      <c r="B15" s="37"/>
      <c r="C15" s="37"/>
      <c r="D15" s="37"/>
      <c r="E15" s="37"/>
      <c r="F15" s="37"/>
      <c r="G15" s="18"/>
      <c r="H15" s="18"/>
      <c r="I15" s="18"/>
      <c r="J15" s="18"/>
    </row>
    <row r="16" spans="1:10" x14ac:dyDescent="0.3">
      <c r="A16" s="18"/>
      <c r="B16" s="35" t="s">
        <v>462</v>
      </c>
      <c r="C16" s="35" t="s">
        <v>434</v>
      </c>
      <c r="D16" s="35" t="s">
        <v>463</v>
      </c>
      <c r="E16" s="35" t="s">
        <v>464</v>
      </c>
      <c r="F16" s="35" t="s">
        <v>465</v>
      </c>
      <c r="G16" s="35" t="s">
        <v>466</v>
      </c>
      <c r="H16" s="35" t="s">
        <v>467</v>
      </c>
      <c r="I16" s="35" t="s">
        <v>468</v>
      </c>
      <c r="J16" s="18"/>
    </row>
    <row r="17" spans="1:10" x14ac:dyDescent="0.3">
      <c r="A17" s="35" t="s">
        <v>456</v>
      </c>
      <c r="B17" s="20">
        <v>-14.342532990176</v>
      </c>
      <c r="C17" s="20">
        <v>52.968753308776222</v>
      </c>
      <c r="D17" s="20">
        <v>-0.2707734672660233</v>
      </c>
      <c r="E17" s="20">
        <v>0.78679048926857054</v>
      </c>
      <c r="F17" s="20">
        <v>-118.66849991006868</v>
      </c>
      <c r="G17" s="20">
        <v>89.983433929716711</v>
      </c>
      <c r="H17" s="20">
        <v>-118.66849991006868</v>
      </c>
      <c r="I17" s="20">
        <v>89.983433929716711</v>
      </c>
      <c r="J17" s="18"/>
    </row>
    <row r="18" spans="1:10" x14ac:dyDescent="0.3">
      <c r="A18" s="35" t="s">
        <v>469</v>
      </c>
      <c r="B18" s="20">
        <v>3.1385459028219134</v>
      </c>
      <c r="C18" s="20">
        <v>0.13110046783283946</v>
      </c>
      <c r="D18" s="20">
        <v>23.940005361565433</v>
      </c>
      <c r="E18" s="20">
        <v>2.0274087953764941E-66</v>
      </c>
      <c r="F18" s="20">
        <v>2.8803336131993609</v>
      </c>
      <c r="G18" s="20">
        <v>3.3967581924444659</v>
      </c>
      <c r="H18" s="20">
        <v>2.8803336131993609</v>
      </c>
      <c r="I18" s="20">
        <v>3.3967581924444659</v>
      </c>
      <c r="J18" s="1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E85FC-9765-4286-A2CD-EC2C643097FF}">
  <dimension ref="A1:S251"/>
  <sheetViews>
    <sheetView workbookViewId="0">
      <selection activeCell="G2" sqref="G2"/>
    </sheetView>
  </sheetViews>
  <sheetFormatPr defaultRowHeight="14.4" x14ac:dyDescent="0.3"/>
  <cols>
    <col min="1" max="1" width="13.109375" customWidth="1"/>
    <col min="2" max="2" width="17.21875" customWidth="1"/>
    <col min="3" max="3" width="23.5546875" customWidth="1"/>
    <col min="4" max="4" width="18" customWidth="1"/>
    <col min="6" max="6" width="10.5546875" customWidth="1"/>
    <col min="9" max="9" width="20.33203125" customWidth="1"/>
    <col min="12" max="12" width="10.33203125" customWidth="1"/>
    <col min="15" max="15" width="13.21875" customWidth="1"/>
  </cols>
  <sheetData>
    <row r="1" spans="1:19" x14ac:dyDescent="0.3">
      <c r="A1" s="24" t="s">
        <v>425</v>
      </c>
      <c r="B1" s="24" t="s">
        <v>426</v>
      </c>
      <c r="C1" s="24" t="s">
        <v>427</v>
      </c>
      <c r="D1" s="24" t="s">
        <v>428</v>
      </c>
    </row>
    <row r="2" spans="1:19" x14ac:dyDescent="0.3">
      <c r="A2" s="22" cm="1">
        <f t="array" ref="A2:A251">DATEDIF(Final_Project_Dataset!M2:M251,Final_Project_Dataset!B2:B251,"Y")</f>
        <v>2</v>
      </c>
      <c r="B2" s="23">
        <f ca="1">NOW()</f>
        <v>46012.017194097221</v>
      </c>
      <c r="C2" s="25">
        <f>SUMIF(Final_Project_Dataset!C2:C251,D:D,Final_Project_Dataset!N2:N251)</f>
        <v>8309.739999999998</v>
      </c>
      <c r="D2" s="25" t="str" cm="1">
        <f t="array" ref="D2:D51">_xlfn.UNIQUE(Final_Project_Dataset!C2:C251)</f>
        <v>CUST023</v>
      </c>
      <c r="F2" s="26" t="s">
        <v>429</v>
      </c>
      <c r="G2" s="27">
        <f>SUM(Final_Project_Dataset!N2:N251)</f>
        <v>229192.47000000032</v>
      </c>
      <c r="I2" s="30" t="s">
        <v>431</v>
      </c>
      <c r="J2" s="25" t="str" cm="1">
        <f t="array" ref="J2">INDEX(Final_Project_Dataset!F2:F251,MATCH(MAX(COUNTIF(Final_Project_Dataset!F2:F251,Final_Project_Dataset!F2:F251)),COUNTIF(Final_Project_Dataset!F2:F251,Final_Project_Dataset!F2:F251),0))</f>
        <v>Bookshelf</v>
      </c>
      <c r="K2" s="33">
        <f>COUNTIF(Final_Project_Dataset!F2:F251,"Bookshelf")</f>
        <v>35</v>
      </c>
    </row>
    <row r="3" spans="1:19" x14ac:dyDescent="0.3">
      <c r="A3" s="20">
        <v>2</v>
      </c>
      <c r="B3" s="21">
        <f t="shared" ref="B3:B66" ca="1" si="0">NOW()</f>
        <v>46012.017194097221</v>
      </c>
      <c r="C3" s="25">
        <f>SUMIF(Final_Project_Dataset!C3:C252,D:D,Final_Project_Dataset!N3:N252)</f>
        <v>6949.84</v>
      </c>
      <c r="D3" s="25" t="str">
        <v>CUST013</v>
      </c>
    </row>
    <row r="4" spans="1:19" x14ac:dyDescent="0.3">
      <c r="A4" s="20">
        <v>0</v>
      </c>
      <c r="B4" s="21">
        <f t="shared" ca="1" si="0"/>
        <v>46012.017194097221</v>
      </c>
      <c r="C4" s="25">
        <f>SUMIF(Final_Project_Dataset!C4:C253,D:D,Final_Project_Dataset!N4:N253)</f>
        <v>3259.87</v>
      </c>
      <c r="D4" s="25" t="str">
        <v>CUST021</v>
      </c>
    </row>
    <row r="5" spans="1:19" x14ac:dyDescent="0.3">
      <c r="A5" s="20">
        <v>0</v>
      </c>
      <c r="B5" s="21">
        <f t="shared" ca="1" si="0"/>
        <v>46012.017194097221</v>
      </c>
      <c r="C5" s="25">
        <f>SUMIF(Final_Project_Dataset!C5:C254,D:D,Final_Project_Dataset!N5:N254)</f>
        <v>4309.8099999999995</v>
      </c>
      <c r="D5" s="25" t="str">
        <v>CUST046</v>
      </c>
    </row>
    <row r="6" spans="1:19" x14ac:dyDescent="0.3">
      <c r="A6" s="20">
        <v>0</v>
      </c>
      <c r="B6" s="21">
        <f t="shared" ca="1" si="0"/>
        <v>46012.017194097221</v>
      </c>
      <c r="C6" s="25">
        <f>SUMIF(Final_Project_Dataset!C6:C255,D:D,Final_Project_Dataset!N6:N255)</f>
        <v>6169.7400000000007</v>
      </c>
      <c r="D6" s="25" t="str">
        <v>CUST003</v>
      </c>
    </row>
    <row r="7" spans="1:19" x14ac:dyDescent="0.3">
      <c r="A7" s="20">
        <v>1</v>
      </c>
      <c r="B7" s="21">
        <f t="shared" ca="1" si="0"/>
        <v>46012.017194097221</v>
      </c>
      <c r="C7" s="25">
        <f>SUMIF(Final_Project_Dataset!C7:C256,D:D,Final_Project_Dataset!N7:N256)</f>
        <v>8269.7900000000009</v>
      </c>
      <c r="D7" s="25" t="str">
        <v>CUST024</v>
      </c>
      <c r="F7" s="28" t="s">
        <v>430</v>
      </c>
      <c r="G7" s="29"/>
    </row>
    <row r="8" spans="1:19" x14ac:dyDescent="0.3">
      <c r="A8" s="20">
        <v>2</v>
      </c>
      <c r="B8" s="21">
        <f t="shared" ca="1" si="0"/>
        <v>46012.017194097221</v>
      </c>
      <c r="C8" s="25">
        <f>SUMIF(Final_Project_Dataset!C8:C257,D:D,Final_Project_Dataset!N8:N257)</f>
        <v>5089.7300000000005</v>
      </c>
      <c r="D8" s="25" t="str">
        <v>CUST017</v>
      </c>
      <c r="F8" s="25" t="str" cm="1">
        <f t="array" ref="F8:S13">_xlfn._xlws.FILTER(Final_Project_Dataset!A2:N251,(Final_Project_Dataset!F2:F251="LAPTOP")*(Final_Project_Dataset!L2:L251="PREMIUM"),"NO PREMIUM LAPTOP SALES FOUND")</f>
        <v>TRX0041</v>
      </c>
      <c r="G8" s="25">
        <v>45432</v>
      </c>
      <c r="H8" s="25" t="str">
        <v>CUST021</v>
      </c>
      <c r="I8" s="25" t="str">
        <v>Kevin Scott</v>
      </c>
      <c r="J8" s="25" t="str">
        <v>P001</v>
      </c>
      <c r="K8" s="25" t="str">
        <v>Laptop</v>
      </c>
      <c r="L8" s="25" t="str">
        <v>Electronics</v>
      </c>
      <c r="M8" s="25">
        <v>1</v>
      </c>
      <c r="N8" s="25">
        <v>899.99</v>
      </c>
      <c r="O8" s="25" t="str">
        <v>Credit Card</v>
      </c>
      <c r="P8" s="25" t="str">
        <v>West</v>
      </c>
      <c r="Q8" s="25" t="str">
        <v>Premium</v>
      </c>
      <c r="R8" s="25">
        <v>44578</v>
      </c>
      <c r="S8" s="25">
        <v>899.99</v>
      </c>
    </row>
    <row r="9" spans="1:19" x14ac:dyDescent="0.3">
      <c r="A9" s="20">
        <v>1</v>
      </c>
      <c r="B9" s="21">
        <f t="shared" ca="1" si="0"/>
        <v>46012.017194097221</v>
      </c>
      <c r="C9" s="25">
        <f>SUMIF(Final_Project_Dataset!C9:C258,D:D,Final_Project_Dataset!N9:N258)</f>
        <v>3509.8999999999996</v>
      </c>
      <c r="D9" s="25" t="str">
        <v>CUST009</v>
      </c>
      <c r="F9" s="25" t="str">
        <v>TRX0044</v>
      </c>
      <c r="G9" s="25">
        <v>45459</v>
      </c>
      <c r="H9" s="25" t="str">
        <v>CUST029</v>
      </c>
      <c r="I9" s="25" t="str">
        <v>Edward Mitchell</v>
      </c>
      <c r="J9" s="25" t="str">
        <v>P001</v>
      </c>
      <c r="K9" s="25" t="str">
        <v>Laptop</v>
      </c>
      <c r="L9" s="25" t="str">
        <v>Electronics</v>
      </c>
      <c r="M9" s="25">
        <v>5</v>
      </c>
      <c r="N9" s="25">
        <v>899.99</v>
      </c>
      <c r="O9" s="25" t="str">
        <v>PayPal</v>
      </c>
      <c r="P9" s="25" t="str">
        <v>East</v>
      </c>
      <c r="Q9" s="25" t="str">
        <v>Premium</v>
      </c>
      <c r="R9" s="25">
        <v>45278</v>
      </c>
      <c r="S9" s="25">
        <v>4499.95</v>
      </c>
    </row>
    <row r="10" spans="1:19" x14ac:dyDescent="0.3">
      <c r="A10" s="20">
        <v>0</v>
      </c>
      <c r="B10" s="21">
        <f t="shared" ca="1" si="0"/>
        <v>46012.017194097221</v>
      </c>
      <c r="C10" s="25">
        <f>SUMIF(Final_Project_Dataset!C10:C259,D:D,Final_Project_Dataset!N10:N259)</f>
        <v>8009.7699999999995</v>
      </c>
      <c r="D10" s="25" t="str">
        <v>CUST026</v>
      </c>
      <c r="F10" s="25" t="str">
        <v>TRX0104</v>
      </c>
      <c r="G10" s="25">
        <v>45471</v>
      </c>
      <c r="H10" s="25" t="str">
        <v>CUST012</v>
      </c>
      <c r="I10" s="25" t="str">
        <v>Patricia Moore</v>
      </c>
      <c r="J10" s="25" t="str">
        <v>P001</v>
      </c>
      <c r="K10" s="25" t="str">
        <v>Laptop</v>
      </c>
      <c r="L10" s="25" t="str">
        <v>Electronics</v>
      </c>
      <c r="M10" s="25">
        <v>4</v>
      </c>
      <c r="N10" s="25">
        <v>899.99</v>
      </c>
      <c r="O10" s="25" t="str">
        <v>Credit Card</v>
      </c>
      <c r="P10" s="25" t="str">
        <v>East</v>
      </c>
      <c r="Q10" s="25" t="str">
        <v>Premium</v>
      </c>
      <c r="R10" s="25">
        <v>44993</v>
      </c>
      <c r="S10" s="25">
        <v>3599.96</v>
      </c>
    </row>
    <row r="11" spans="1:19" x14ac:dyDescent="0.3">
      <c r="A11" s="20">
        <v>0</v>
      </c>
      <c r="B11" s="21">
        <f t="shared" ca="1" si="0"/>
        <v>46012.017194097221</v>
      </c>
      <c r="C11" s="25">
        <f>SUMIF(Final_Project_Dataset!C11:C260,D:D,Final_Project_Dataset!N11:N260)</f>
        <v>1979.89</v>
      </c>
      <c r="D11" s="25" t="str">
        <v>CUST022</v>
      </c>
      <c r="F11" s="25" t="str">
        <v>TRX0207</v>
      </c>
      <c r="G11" s="25">
        <v>45657</v>
      </c>
      <c r="H11" s="25" t="str">
        <v>CUST025</v>
      </c>
      <c r="I11" s="25" t="str">
        <v>Mark Carter</v>
      </c>
      <c r="J11" s="25" t="str">
        <v>P001</v>
      </c>
      <c r="K11" s="25" t="str">
        <v>Laptop</v>
      </c>
      <c r="L11" s="25" t="str">
        <v>Electronics</v>
      </c>
      <c r="M11" s="25">
        <v>1</v>
      </c>
      <c r="N11" s="25">
        <v>899.99</v>
      </c>
      <c r="O11" s="25" t="str">
        <v>PayPal</v>
      </c>
      <c r="P11" s="25" t="str">
        <v>North</v>
      </c>
      <c r="Q11" s="25" t="str">
        <v>Premium</v>
      </c>
      <c r="R11" s="25">
        <v>45050</v>
      </c>
      <c r="S11" s="25">
        <v>899.99</v>
      </c>
    </row>
    <row r="12" spans="1:19" x14ac:dyDescent="0.3">
      <c r="A12" s="20">
        <v>0</v>
      </c>
      <c r="B12" s="21">
        <f t="shared" ca="1" si="0"/>
        <v>46012.017194097221</v>
      </c>
      <c r="C12" s="25">
        <f>SUMIF(Final_Project_Dataset!C12:C261,D:D,Final_Project_Dataset!N12:N261)</f>
        <v>5949.85</v>
      </c>
      <c r="D12" s="25" t="str">
        <v>CUST041</v>
      </c>
      <c r="F12" s="25" t="str">
        <v>TRX0016</v>
      </c>
      <c r="G12" s="25">
        <v>45724</v>
      </c>
      <c r="H12" s="25" t="str">
        <v>CUST035</v>
      </c>
      <c r="I12" s="25" t="str">
        <v>Harry Morgan</v>
      </c>
      <c r="J12" s="25" t="str">
        <v>P001</v>
      </c>
      <c r="K12" s="25" t="str">
        <v>Laptop</v>
      </c>
      <c r="L12" s="25" t="str">
        <v>Electronics</v>
      </c>
      <c r="M12" s="25">
        <v>5</v>
      </c>
      <c r="N12" s="25">
        <v>899.99</v>
      </c>
      <c r="O12" s="25" t="str">
        <v>PayPal</v>
      </c>
      <c r="P12" s="25" t="str">
        <v>East</v>
      </c>
      <c r="Q12" s="25" t="str">
        <v>Premium</v>
      </c>
      <c r="R12" s="25">
        <v>45389</v>
      </c>
      <c r="S12" s="25">
        <v>4499.95</v>
      </c>
    </row>
    <row r="13" spans="1:19" x14ac:dyDescent="0.3">
      <c r="A13" s="20">
        <v>1</v>
      </c>
      <c r="B13" s="21">
        <f t="shared" ca="1" si="0"/>
        <v>46012.017194097221</v>
      </c>
      <c r="C13" s="25">
        <f>SUMIF(Final_Project_Dataset!C13:C262,D:D,Final_Project_Dataset!N13:N262)</f>
        <v>479.91999999999996</v>
      </c>
      <c r="D13" s="25" t="str">
        <v>CUST043</v>
      </c>
      <c r="F13" s="25" t="str">
        <v>TRX0124</v>
      </c>
      <c r="G13" s="25">
        <v>45737</v>
      </c>
      <c r="H13" s="25" t="str">
        <v>CUST040</v>
      </c>
      <c r="I13" s="25" t="str">
        <v>Sharon Butler</v>
      </c>
      <c r="J13" s="25" t="str">
        <v>P001</v>
      </c>
      <c r="K13" s="25" t="str">
        <v>Laptop</v>
      </c>
      <c r="L13" s="25" t="str">
        <v>Electronics</v>
      </c>
      <c r="M13" s="25">
        <v>3</v>
      </c>
      <c r="N13" s="25">
        <v>899.99</v>
      </c>
      <c r="O13" s="25" t="str">
        <v>Debit Card</v>
      </c>
      <c r="P13" s="25" t="str">
        <v>North</v>
      </c>
      <c r="Q13" s="25" t="str">
        <v>Premium</v>
      </c>
      <c r="R13" s="25">
        <v>44876</v>
      </c>
      <c r="S13" s="25">
        <v>2699.97</v>
      </c>
    </row>
    <row r="14" spans="1:19" x14ac:dyDescent="0.3">
      <c r="A14" s="20">
        <v>1</v>
      </c>
      <c r="B14" s="21">
        <f t="shared" ca="1" si="0"/>
        <v>46012.017194097221</v>
      </c>
      <c r="C14" s="25">
        <f>SUMIF(Final_Project_Dataset!C14:C263,D:D,Final_Project_Dataset!N14:N263)</f>
        <v>4199.9399999999996</v>
      </c>
      <c r="D14" s="25" t="str">
        <v>CUST038</v>
      </c>
    </row>
    <row r="15" spans="1:19" x14ac:dyDescent="0.3">
      <c r="A15" s="20">
        <v>0</v>
      </c>
      <c r="B15" s="21">
        <f t="shared" ca="1" si="0"/>
        <v>46012.017194097221</v>
      </c>
      <c r="C15" s="25">
        <f>SUMIF(Final_Project_Dataset!C15:C264,D:D,Final_Project_Dataset!N15:N264)</f>
        <v>3779.93</v>
      </c>
      <c r="D15" s="25" t="str">
        <v>CUST027</v>
      </c>
    </row>
    <row r="16" spans="1:19" x14ac:dyDescent="0.3">
      <c r="A16" s="20">
        <v>2</v>
      </c>
      <c r="B16" s="21">
        <f t="shared" ca="1" si="0"/>
        <v>46012.017194097221</v>
      </c>
      <c r="C16" s="25">
        <f>SUMIF(Final_Project_Dataset!C16:C265,D:D,Final_Project_Dataset!N16:N265)</f>
        <v>15659.65</v>
      </c>
      <c r="D16" s="25" t="str">
        <v>CUST025</v>
      </c>
    </row>
    <row r="17" spans="1:4" x14ac:dyDescent="0.3">
      <c r="A17" s="20">
        <v>1</v>
      </c>
      <c r="B17" s="21">
        <f t="shared" ca="1" si="0"/>
        <v>46012.017194097221</v>
      </c>
      <c r="C17" s="25">
        <f>SUMIF(Final_Project_Dataset!C17:C266,D:D,Final_Project_Dataset!N17:N266)</f>
        <v>1909.93</v>
      </c>
      <c r="D17" s="25" t="str">
        <v>CUST010</v>
      </c>
    </row>
    <row r="18" spans="1:4" x14ac:dyDescent="0.3">
      <c r="A18" s="20">
        <v>0</v>
      </c>
      <c r="B18" s="21">
        <f t="shared" ca="1" si="0"/>
        <v>46012.017194097221</v>
      </c>
      <c r="C18" s="25">
        <f>SUMIF(Final_Project_Dataset!C18:C267,D:D,Final_Project_Dataset!N18:N267)</f>
        <v>4789.7900000000009</v>
      </c>
      <c r="D18" s="25" t="str">
        <v>CUST048</v>
      </c>
    </row>
    <row r="19" spans="1:4" x14ac:dyDescent="0.3">
      <c r="A19" s="20">
        <v>1</v>
      </c>
      <c r="B19" s="21">
        <f t="shared" ca="1" si="0"/>
        <v>46012.017194097221</v>
      </c>
      <c r="C19" s="25">
        <f>SUMIF(Final_Project_Dataset!C19:C268,D:D,Final_Project_Dataset!N19:N268)</f>
        <v>10649.8</v>
      </c>
      <c r="D19" s="25" t="str">
        <v>CUST018</v>
      </c>
    </row>
    <row r="20" spans="1:4" x14ac:dyDescent="0.3">
      <c r="A20" s="20">
        <v>0</v>
      </c>
      <c r="B20" s="21">
        <f t="shared" ca="1" si="0"/>
        <v>46012.017194097221</v>
      </c>
      <c r="C20" s="25">
        <f>SUMIF(Final_Project_Dataset!C20:C269,D:D,Final_Project_Dataset!N20:N269)</f>
        <v>9799.73</v>
      </c>
      <c r="D20" s="25" t="str">
        <v>CUST012</v>
      </c>
    </row>
    <row r="21" spans="1:4" x14ac:dyDescent="0.3">
      <c r="A21" s="20">
        <v>0</v>
      </c>
      <c r="B21" s="21">
        <f t="shared" ca="1" si="0"/>
        <v>46012.017194097221</v>
      </c>
      <c r="C21" s="25">
        <f>SUMIF(Final_Project_Dataset!C21:C270,D:D,Final_Project_Dataset!N21:N270)</f>
        <v>3769.8300000000004</v>
      </c>
      <c r="D21" s="25" t="str">
        <v>CUST044</v>
      </c>
    </row>
    <row r="22" spans="1:4" x14ac:dyDescent="0.3">
      <c r="A22" s="20">
        <v>0</v>
      </c>
      <c r="B22" s="21">
        <f t="shared" ca="1" si="0"/>
        <v>46012.017194097221</v>
      </c>
      <c r="C22" s="25">
        <f>SUMIF(Final_Project_Dataset!C22:C271,D:D,Final_Project_Dataset!N22:N271)</f>
        <v>4189.7700000000004</v>
      </c>
      <c r="D22" s="25" t="str">
        <v>CUST036</v>
      </c>
    </row>
    <row r="23" spans="1:4" x14ac:dyDescent="0.3">
      <c r="A23" s="20">
        <v>2</v>
      </c>
      <c r="B23" s="21">
        <f t="shared" ca="1" si="0"/>
        <v>46012.017194097221</v>
      </c>
      <c r="C23" s="25">
        <f>SUMIF(Final_Project_Dataset!C23:C272,D:D,Final_Project_Dataset!N23:N272)</f>
        <v>1289.9000000000001</v>
      </c>
      <c r="D23" s="25" t="str">
        <v>CUST014</v>
      </c>
    </row>
    <row r="24" spans="1:4" x14ac:dyDescent="0.3">
      <c r="A24" s="20">
        <v>2</v>
      </c>
      <c r="B24" s="21">
        <f t="shared" ca="1" si="0"/>
        <v>46012.017194097221</v>
      </c>
      <c r="C24" s="25">
        <f>SUMIF(Final_Project_Dataset!C24:C273,D:D,Final_Project_Dataset!N24:N273)</f>
        <v>6459.79</v>
      </c>
      <c r="D24" s="25" t="str">
        <v>CUST030</v>
      </c>
    </row>
    <row r="25" spans="1:4" x14ac:dyDescent="0.3">
      <c r="A25" s="20">
        <v>1</v>
      </c>
      <c r="B25" s="21">
        <f t="shared" ca="1" si="0"/>
        <v>46012.017194097221</v>
      </c>
      <c r="C25" s="25">
        <f>SUMIF(Final_Project_Dataset!C25:C274,D:D,Final_Project_Dataset!N25:N274)</f>
        <v>11919.769999999999</v>
      </c>
      <c r="D25" s="25" t="str">
        <v>CUST029</v>
      </c>
    </row>
    <row r="26" spans="1:4" x14ac:dyDescent="0.3">
      <c r="A26" s="20">
        <v>2</v>
      </c>
      <c r="B26" s="21">
        <f t="shared" ca="1" si="0"/>
        <v>46012.017194097221</v>
      </c>
      <c r="C26" s="25">
        <f>SUMIF(Final_Project_Dataset!C26:C275,D:D,Final_Project_Dataset!N26:N275)</f>
        <v>2039.8000000000002</v>
      </c>
      <c r="D26" s="25" t="str">
        <v>CUST006</v>
      </c>
    </row>
    <row r="27" spans="1:4" x14ac:dyDescent="0.3">
      <c r="A27" s="20">
        <v>0</v>
      </c>
      <c r="B27" s="21">
        <f t="shared" ca="1" si="0"/>
        <v>46012.017194097221</v>
      </c>
      <c r="C27" s="25">
        <f>SUMIF(Final_Project_Dataset!C27:C276,D:D,Final_Project_Dataset!N27:N276)</f>
        <v>1229.8800000000001</v>
      </c>
      <c r="D27" s="25" t="str">
        <v>CUST002</v>
      </c>
    </row>
    <row r="28" spans="1:4" x14ac:dyDescent="0.3">
      <c r="A28" s="20">
        <v>1</v>
      </c>
      <c r="B28" s="21">
        <f t="shared" ca="1" si="0"/>
        <v>46012.017194097221</v>
      </c>
      <c r="C28" s="25">
        <f>SUMIF(Final_Project_Dataset!C28:C277,D:D,Final_Project_Dataset!N28:N277)</f>
        <v>2649.83</v>
      </c>
      <c r="D28" s="25" t="str">
        <v>CUST031</v>
      </c>
    </row>
    <row r="29" spans="1:4" x14ac:dyDescent="0.3">
      <c r="A29" s="20">
        <v>1</v>
      </c>
      <c r="B29" s="21">
        <f t="shared" ca="1" si="0"/>
        <v>46012.017194097221</v>
      </c>
      <c r="C29" s="25">
        <f>SUMIF(Final_Project_Dataset!C29:C278,D:D,Final_Project_Dataset!N29:N278)</f>
        <v>4739.8500000000004</v>
      </c>
      <c r="D29" s="25" t="str">
        <v>CUST008</v>
      </c>
    </row>
    <row r="30" spans="1:4" x14ac:dyDescent="0.3">
      <c r="A30" s="20">
        <v>0</v>
      </c>
      <c r="B30" s="21">
        <f t="shared" ca="1" si="0"/>
        <v>46012.017194097221</v>
      </c>
      <c r="C30" s="25">
        <f>SUMIF(Final_Project_Dataset!C30:C279,D:D,Final_Project_Dataset!N30:N279)</f>
        <v>5519.8899999999994</v>
      </c>
      <c r="D30" s="25" t="str">
        <v>CUST035</v>
      </c>
    </row>
    <row r="31" spans="1:4" x14ac:dyDescent="0.3">
      <c r="A31" s="20">
        <v>1</v>
      </c>
      <c r="B31" s="21">
        <f t="shared" ca="1" si="0"/>
        <v>46012.017194097221</v>
      </c>
      <c r="C31" s="25">
        <f>SUMIF(Final_Project_Dataset!C31:C280,D:D,Final_Project_Dataset!N31:N280)</f>
        <v>7309.7999999999993</v>
      </c>
      <c r="D31" s="25" t="str">
        <v>CUST019</v>
      </c>
    </row>
    <row r="32" spans="1:4" x14ac:dyDescent="0.3">
      <c r="A32" s="20">
        <v>2</v>
      </c>
      <c r="B32" s="21">
        <f t="shared" ca="1" si="0"/>
        <v>46012.017194097221</v>
      </c>
      <c r="C32" s="25">
        <f>SUMIF(Final_Project_Dataset!C32:C281,D:D,Final_Project_Dataset!N32:N281)</f>
        <v>5619.869999999999</v>
      </c>
      <c r="D32" s="25" t="str">
        <v>CUST040</v>
      </c>
    </row>
    <row r="33" spans="1:4" x14ac:dyDescent="0.3">
      <c r="A33" s="20">
        <v>1</v>
      </c>
      <c r="B33" s="21">
        <f t="shared" ca="1" si="0"/>
        <v>46012.017194097221</v>
      </c>
      <c r="C33" s="25">
        <f>SUMIF(Final_Project_Dataset!C33:C282,D:D,Final_Project_Dataset!N33:N282)</f>
        <v>5499.8099999999995</v>
      </c>
      <c r="D33" s="25" t="str">
        <v>CUST004</v>
      </c>
    </row>
    <row r="34" spans="1:4" x14ac:dyDescent="0.3">
      <c r="A34" s="20">
        <v>0</v>
      </c>
      <c r="B34" s="21">
        <f t="shared" ca="1" si="0"/>
        <v>46012.017194097221</v>
      </c>
      <c r="C34" s="25">
        <f>SUMIF(Final_Project_Dataset!C34:C283,D:D,Final_Project_Dataset!N34:N283)</f>
        <v>5649.84</v>
      </c>
      <c r="D34" s="25" t="str">
        <v>CUST028</v>
      </c>
    </row>
    <row r="35" spans="1:4" x14ac:dyDescent="0.3">
      <c r="A35" s="20">
        <v>2</v>
      </c>
      <c r="B35" s="21">
        <f t="shared" ca="1" si="0"/>
        <v>46012.017194097221</v>
      </c>
      <c r="C35" s="25">
        <f>SUMIF(Final_Project_Dataset!C35:C284,D:D,Final_Project_Dataset!N35:N284)</f>
        <v>239.96</v>
      </c>
      <c r="D35" s="25" t="str">
        <v>CUST050</v>
      </c>
    </row>
    <row r="36" spans="1:4" x14ac:dyDescent="0.3">
      <c r="A36" s="20">
        <v>1</v>
      </c>
      <c r="B36" s="21">
        <f t="shared" ca="1" si="0"/>
        <v>46012.017194097221</v>
      </c>
      <c r="C36" s="25">
        <f>SUMIF(Final_Project_Dataset!C36:C285,D:D,Final_Project_Dataset!N36:N285)</f>
        <v>3669.8500000000004</v>
      </c>
      <c r="D36" s="25" t="str">
        <v>CUST049</v>
      </c>
    </row>
    <row r="37" spans="1:4" x14ac:dyDescent="0.3">
      <c r="A37" s="20">
        <v>1</v>
      </c>
      <c r="B37" s="21">
        <f t="shared" ca="1" si="0"/>
        <v>46012.017194097221</v>
      </c>
      <c r="C37" s="25">
        <f>SUMIF(Final_Project_Dataset!C37:C286,D:D,Final_Project_Dataset!N37:N286)</f>
        <v>1809.84</v>
      </c>
      <c r="D37" s="25" t="str">
        <v>CUST007</v>
      </c>
    </row>
    <row r="38" spans="1:4" x14ac:dyDescent="0.3">
      <c r="A38" s="20">
        <v>0</v>
      </c>
      <c r="B38" s="21">
        <f t="shared" ca="1" si="0"/>
        <v>46012.017194097221</v>
      </c>
      <c r="C38" s="25">
        <f>SUMIF(Final_Project_Dataset!C38:C287,D:D,Final_Project_Dataset!N38:N287)</f>
        <v>2099.88</v>
      </c>
      <c r="D38" s="25" t="str">
        <v>CUST020</v>
      </c>
    </row>
    <row r="39" spans="1:4" x14ac:dyDescent="0.3">
      <c r="A39" s="20">
        <v>2</v>
      </c>
      <c r="B39" s="21">
        <f t="shared" ca="1" si="0"/>
        <v>46012.017194097221</v>
      </c>
      <c r="C39" s="25">
        <f>SUMIF(Final_Project_Dataset!C39:C288,D:D,Final_Project_Dataset!N39:N288)</f>
        <v>1479.91</v>
      </c>
      <c r="D39" s="25" t="str">
        <v>CUST033</v>
      </c>
    </row>
    <row r="40" spans="1:4" x14ac:dyDescent="0.3">
      <c r="A40" s="20">
        <v>0</v>
      </c>
      <c r="B40" s="21">
        <f t="shared" ca="1" si="0"/>
        <v>46012.017194097221</v>
      </c>
      <c r="C40" s="25">
        <f>SUMIF(Final_Project_Dataset!C40:C289,D:D,Final_Project_Dataset!N40:N289)</f>
        <v>6379.87</v>
      </c>
      <c r="D40" s="25" t="str">
        <v>CUST047</v>
      </c>
    </row>
    <row r="41" spans="1:4" x14ac:dyDescent="0.3">
      <c r="A41" s="20">
        <v>1</v>
      </c>
      <c r="B41" s="21">
        <f t="shared" ca="1" si="0"/>
        <v>46012.017194097221</v>
      </c>
      <c r="C41" s="25">
        <f>SUMIF(Final_Project_Dataset!C41:C290,D:D,Final_Project_Dataset!N41:N290)</f>
        <v>3649.8599999999997</v>
      </c>
      <c r="D41" s="25" t="str">
        <v>CUST016</v>
      </c>
    </row>
    <row r="42" spans="1:4" x14ac:dyDescent="0.3">
      <c r="A42" s="20">
        <v>0</v>
      </c>
      <c r="B42" s="21">
        <f t="shared" ca="1" si="0"/>
        <v>46012.017194097221</v>
      </c>
      <c r="C42" s="25">
        <f>SUMIF(Final_Project_Dataset!C42:C291,D:D,Final_Project_Dataset!N42:N291)</f>
        <v>6989.7699999999986</v>
      </c>
      <c r="D42" s="25" t="str">
        <v>CUST039</v>
      </c>
    </row>
    <row r="43" spans="1:4" x14ac:dyDescent="0.3">
      <c r="A43" s="20">
        <v>0</v>
      </c>
      <c r="B43" s="21">
        <f t="shared" ca="1" si="0"/>
        <v>46012.017194097221</v>
      </c>
      <c r="C43" s="25">
        <f>SUMIF(Final_Project_Dataset!C43:C292,D:D,Final_Project_Dataset!N43:N292)</f>
        <v>1149.93</v>
      </c>
      <c r="D43" s="25" t="str">
        <v>CUST034</v>
      </c>
    </row>
    <row r="44" spans="1:4" x14ac:dyDescent="0.3">
      <c r="A44" s="20">
        <v>2</v>
      </c>
      <c r="B44" s="21">
        <f t="shared" ca="1" si="0"/>
        <v>46012.017194097221</v>
      </c>
      <c r="C44" s="25">
        <f>SUMIF(Final_Project_Dataset!C44:C293,D:D,Final_Project_Dataset!N44:N293)</f>
        <v>6349.83</v>
      </c>
      <c r="D44" s="25" t="str">
        <v>CUST032</v>
      </c>
    </row>
    <row r="45" spans="1:4" x14ac:dyDescent="0.3">
      <c r="A45" s="20">
        <v>2</v>
      </c>
      <c r="B45" s="21">
        <f t="shared" ca="1" si="0"/>
        <v>46012.017194097221</v>
      </c>
      <c r="C45" s="25">
        <f>SUMIF(Final_Project_Dataset!C45:C294,D:D,Final_Project_Dataset!N45:N294)</f>
        <v>1749.92</v>
      </c>
      <c r="D45" s="25" t="str">
        <v>CUST042</v>
      </c>
    </row>
    <row r="46" spans="1:4" x14ac:dyDescent="0.3">
      <c r="A46" s="20">
        <v>2</v>
      </c>
      <c r="B46" s="21">
        <f t="shared" ca="1" si="0"/>
        <v>46012.017194097221</v>
      </c>
      <c r="C46" s="25">
        <f>SUMIF(Final_Project_Dataset!C46:C295,D:D,Final_Project_Dataset!N46:N295)</f>
        <v>4749.91</v>
      </c>
      <c r="D46" s="25" t="str">
        <v>CUST011</v>
      </c>
    </row>
    <row r="47" spans="1:4" x14ac:dyDescent="0.3">
      <c r="A47" s="20">
        <v>2</v>
      </c>
      <c r="B47" s="21">
        <f t="shared" ca="1" si="0"/>
        <v>46012.017194097221</v>
      </c>
      <c r="C47" s="25">
        <f>SUMIF(Final_Project_Dataset!C47:C296,D:D,Final_Project_Dataset!N47:N296)</f>
        <v>739.93000000000006</v>
      </c>
      <c r="D47" s="25" t="str">
        <v>CUST015</v>
      </c>
    </row>
    <row r="48" spans="1:4" x14ac:dyDescent="0.3">
      <c r="A48" s="20">
        <v>2</v>
      </c>
      <c r="B48" s="21">
        <f t="shared" ca="1" si="0"/>
        <v>46012.017194097221</v>
      </c>
      <c r="C48" s="25">
        <f>SUMIF(Final_Project_Dataset!C48:C297,D:D,Final_Project_Dataset!N48:N297)</f>
        <v>4829.8899999999994</v>
      </c>
      <c r="D48" s="25" t="str">
        <v>CUST045</v>
      </c>
    </row>
    <row r="49" spans="1:4" x14ac:dyDescent="0.3">
      <c r="A49" s="20">
        <v>2</v>
      </c>
      <c r="B49" s="21">
        <f t="shared" ca="1" si="0"/>
        <v>46012.017194097221</v>
      </c>
      <c r="C49" s="25">
        <f>SUMIF(Final_Project_Dataset!C49:C298,D:D,Final_Project_Dataset!N49:N298)</f>
        <v>179.97</v>
      </c>
      <c r="D49" s="25" t="str">
        <v>CUST005</v>
      </c>
    </row>
    <row r="50" spans="1:4" x14ac:dyDescent="0.3">
      <c r="A50" s="20">
        <v>2</v>
      </c>
      <c r="B50" s="21">
        <f t="shared" ca="1" si="0"/>
        <v>46012.017194097221</v>
      </c>
      <c r="C50" s="25">
        <f>SUMIF(Final_Project_Dataset!C50:C299,D:D,Final_Project_Dataset!N50:N299)</f>
        <v>1559.94</v>
      </c>
      <c r="D50" s="25" t="str">
        <v>CUST037</v>
      </c>
    </row>
    <row r="51" spans="1:4" x14ac:dyDescent="0.3">
      <c r="A51" s="20">
        <v>1</v>
      </c>
      <c r="B51" s="21">
        <f t="shared" ca="1" si="0"/>
        <v>46012.017194097221</v>
      </c>
      <c r="C51" s="25">
        <f>SUMIF(Final_Project_Dataset!C51:C300,D:D,Final_Project_Dataset!N51:N300)</f>
        <v>599.96</v>
      </c>
      <c r="D51" s="25" t="str">
        <v>CUST001</v>
      </c>
    </row>
    <row r="52" spans="1:4" x14ac:dyDescent="0.3">
      <c r="A52" s="20">
        <v>0</v>
      </c>
      <c r="B52" s="21">
        <f t="shared" ca="1" si="0"/>
        <v>46012.017194097221</v>
      </c>
      <c r="C52" s="18"/>
      <c r="D52" s="18"/>
    </row>
    <row r="53" spans="1:4" x14ac:dyDescent="0.3">
      <c r="A53" s="20">
        <v>0</v>
      </c>
      <c r="B53" s="21">
        <f t="shared" ca="1" si="0"/>
        <v>46012.017194097221</v>
      </c>
      <c r="C53" s="18"/>
      <c r="D53" s="18"/>
    </row>
    <row r="54" spans="1:4" x14ac:dyDescent="0.3">
      <c r="A54" s="20">
        <v>0</v>
      </c>
      <c r="B54" s="21">
        <f t="shared" ca="1" si="0"/>
        <v>46012.017194097221</v>
      </c>
      <c r="C54" s="18"/>
      <c r="D54" s="18"/>
    </row>
    <row r="55" spans="1:4" x14ac:dyDescent="0.3">
      <c r="A55" s="20">
        <v>0</v>
      </c>
      <c r="B55" s="21">
        <f t="shared" ca="1" si="0"/>
        <v>46012.017194097221</v>
      </c>
      <c r="C55" s="18"/>
      <c r="D55" s="18"/>
    </row>
    <row r="56" spans="1:4" x14ac:dyDescent="0.3">
      <c r="A56" s="20">
        <v>0</v>
      </c>
      <c r="B56" s="21">
        <f t="shared" ca="1" si="0"/>
        <v>46012.017194097221</v>
      </c>
      <c r="C56" s="18"/>
      <c r="D56" s="18"/>
    </row>
    <row r="57" spans="1:4" x14ac:dyDescent="0.3">
      <c r="A57" s="20">
        <v>2</v>
      </c>
      <c r="B57" s="21">
        <f t="shared" ca="1" si="0"/>
        <v>46012.017194097221</v>
      </c>
      <c r="C57" s="18"/>
      <c r="D57" s="18"/>
    </row>
    <row r="58" spans="1:4" x14ac:dyDescent="0.3">
      <c r="A58" s="20">
        <v>1</v>
      </c>
      <c r="B58" s="21">
        <f t="shared" ca="1" si="0"/>
        <v>46012.017194097221</v>
      </c>
      <c r="C58" s="18"/>
      <c r="D58" s="18"/>
    </row>
    <row r="59" spans="1:4" x14ac:dyDescent="0.3">
      <c r="A59" s="20">
        <v>1</v>
      </c>
      <c r="B59" s="21">
        <f t="shared" ca="1" si="0"/>
        <v>46012.017194097221</v>
      </c>
      <c r="C59" s="18"/>
      <c r="D59" s="18"/>
    </row>
    <row r="60" spans="1:4" x14ac:dyDescent="0.3">
      <c r="A60" s="20">
        <v>1</v>
      </c>
      <c r="B60" s="21">
        <f t="shared" ca="1" si="0"/>
        <v>46012.017194097221</v>
      </c>
      <c r="C60" s="18"/>
      <c r="D60" s="18"/>
    </row>
    <row r="61" spans="1:4" x14ac:dyDescent="0.3">
      <c r="A61" s="20">
        <v>0</v>
      </c>
      <c r="B61" s="21">
        <f t="shared" ca="1" si="0"/>
        <v>46012.017194097221</v>
      </c>
      <c r="C61" s="18"/>
      <c r="D61" s="18"/>
    </row>
    <row r="62" spans="1:4" x14ac:dyDescent="0.3">
      <c r="A62" s="20">
        <v>1</v>
      </c>
      <c r="B62" s="21">
        <f t="shared" ca="1" si="0"/>
        <v>46012.017194097221</v>
      </c>
      <c r="C62" s="18"/>
      <c r="D62" s="18"/>
    </row>
    <row r="63" spans="1:4" x14ac:dyDescent="0.3">
      <c r="A63" s="20">
        <v>2</v>
      </c>
      <c r="B63" s="21">
        <f t="shared" ca="1" si="0"/>
        <v>46012.017194097221</v>
      </c>
      <c r="C63" s="18"/>
      <c r="D63" s="18"/>
    </row>
    <row r="64" spans="1:4" x14ac:dyDescent="0.3">
      <c r="A64" s="20">
        <v>1</v>
      </c>
      <c r="B64" s="21">
        <f t="shared" ca="1" si="0"/>
        <v>46012.017194097221</v>
      </c>
      <c r="C64" s="18"/>
      <c r="D64" s="18"/>
    </row>
    <row r="65" spans="1:4" x14ac:dyDescent="0.3">
      <c r="A65" s="20">
        <v>2</v>
      </c>
      <c r="B65" s="21">
        <f t="shared" ca="1" si="0"/>
        <v>46012.017194097221</v>
      </c>
      <c r="C65" s="18"/>
      <c r="D65" s="18"/>
    </row>
    <row r="66" spans="1:4" x14ac:dyDescent="0.3">
      <c r="A66" s="20">
        <v>0</v>
      </c>
      <c r="B66" s="21">
        <f t="shared" ca="1" si="0"/>
        <v>46012.017194097221</v>
      </c>
      <c r="C66" s="18"/>
      <c r="D66" s="18"/>
    </row>
    <row r="67" spans="1:4" x14ac:dyDescent="0.3">
      <c r="A67" s="20">
        <v>0</v>
      </c>
      <c r="B67" s="21">
        <f t="shared" ref="B67:B130" ca="1" si="1">NOW()</f>
        <v>46012.017194097221</v>
      </c>
      <c r="C67" s="18"/>
      <c r="D67" s="18"/>
    </row>
    <row r="68" spans="1:4" x14ac:dyDescent="0.3">
      <c r="A68" s="20">
        <v>2</v>
      </c>
      <c r="B68" s="21">
        <f t="shared" ca="1" si="1"/>
        <v>46012.017194097221</v>
      </c>
      <c r="C68" s="18"/>
      <c r="D68" s="18"/>
    </row>
    <row r="69" spans="1:4" x14ac:dyDescent="0.3">
      <c r="A69" s="20">
        <v>1</v>
      </c>
      <c r="B69" s="21">
        <f t="shared" ca="1" si="1"/>
        <v>46012.017194097221</v>
      </c>
      <c r="C69" s="18"/>
      <c r="D69" s="18"/>
    </row>
    <row r="70" spans="1:4" x14ac:dyDescent="0.3">
      <c r="A70" s="20">
        <v>1</v>
      </c>
      <c r="B70" s="21">
        <f t="shared" ca="1" si="1"/>
        <v>46012.017194097221</v>
      </c>
      <c r="C70" s="18"/>
      <c r="D70" s="18"/>
    </row>
    <row r="71" spans="1:4" x14ac:dyDescent="0.3">
      <c r="A71" s="20">
        <v>2</v>
      </c>
      <c r="B71" s="21">
        <f t="shared" ca="1" si="1"/>
        <v>46012.017194097221</v>
      </c>
      <c r="C71" s="18"/>
      <c r="D71" s="18"/>
    </row>
    <row r="72" spans="1:4" x14ac:dyDescent="0.3">
      <c r="A72" s="20">
        <v>0</v>
      </c>
      <c r="B72" s="21">
        <f t="shared" ca="1" si="1"/>
        <v>46012.017194097221</v>
      </c>
      <c r="C72" s="18"/>
      <c r="D72" s="18"/>
    </row>
    <row r="73" spans="1:4" x14ac:dyDescent="0.3">
      <c r="A73" s="20">
        <v>0</v>
      </c>
      <c r="B73" s="21">
        <f t="shared" ca="1" si="1"/>
        <v>46012.017194097221</v>
      </c>
      <c r="C73" s="18"/>
      <c r="D73" s="18"/>
    </row>
    <row r="74" spans="1:4" x14ac:dyDescent="0.3">
      <c r="A74" s="20">
        <v>0</v>
      </c>
      <c r="B74" s="21">
        <f t="shared" ca="1" si="1"/>
        <v>46012.017194097221</v>
      </c>
      <c r="C74" s="18"/>
      <c r="D74" s="18"/>
    </row>
    <row r="75" spans="1:4" x14ac:dyDescent="0.3">
      <c r="A75" s="20">
        <v>0</v>
      </c>
      <c r="B75" s="21">
        <f t="shared" ca="1" si="1"/>
        <v>46012.017194097221</v>
      </c>
      <c r="C75" s="18"/>
      <c r="D75" s="18"/>
    </row>
    <row r="76" spans="1:4" x14ac:dyDescent="0.3">
      <c r="A76" s="20">
        <v>1</v>
      </c>
      <c r="B76" s="21">
        <f t="shared" ca="1" si="1"/>
        <v>46012.017194097221</v>
      </c>
      <c r="C76" s="18"/>
      <c r="D76" s="18"/>
    </row>
    <row r="77" spans="1:4" x14ac:dyDescent="0.3">
      <c r="A77" s="20">
        <v>0</v>
      </c>
      <c r="B77" s="21">
        <f t="shared" ca="1" si="1"/>
        <v>46012.017194097221</v>
      </c>
      <c r="C77" s="18"/>
      <c r="D77" s="18"/>
    </row>
    <row r="78" spans="1:4" x14ac:dyDescent="0.3">
      <c r="A78" s="20">
        <v>1</v>
      </c>
      <c r="B78" s="21">
        <f t="shared" ca="1" si="1"/>
        <v>46012.017194097221</v>
      </c>
      <c r="C78" s="18"/>
      <c r="D78" s="18"/>
    </row>
    <row r="79" spans="1:4" x14ac:dyDescent="0.3">
      <c r="A79" s="20">
        <v>0</v>
      </c>
      <c r="B79" s="21">
        <f t="shared" ca="1" si="1"/>
        <v>46012.017194097221</v>
      </c>
      <c r="C79" s="18"/>
      <c r="D79" s="18"/>
    </row>
    <row r="80" spans="1:4" x14ac:dyDescent="0.3">
      <c r="A80" s="20">
        <v>1</v>
      </c>
      <c r="B80" s="21">
        <f t="shared" ca="1" si="1"/>
        <v>46012.017194097221</v>
      </c>
      <c r="C80" s="18"/>
      <c r="D80" s="18"/>
    </row>
    <row r="81" spans="1:4" x14ac:dyDescent="0.3">
      <c r="A81" s="20">
        <v>1</v>
      </c>
      <c r="B81" s="21">
        <f t="shared" ca="1" si="1"/>
        <v>46012.017194097221</v>
      </c>
      <c r="C81" s="18"/>
      <c r="D81" s="18"/>
    </row>
    <row r="82" spans="1:4" x14ac:dyDescent="0.3">
      <c r="A82" s="20">
        <v>2</v>
      </c>
      <c r="B82" s="21">
        <f t="shared" ca="1" si="1"/>
        <v>46012.017194097221</v>
      </c>
      <c r="C82" s="18"/>
      <c r="D82" s="18"/>
    </row>
    <row r="83" spans="1:4" x14ac:dyDescent="0.3">
      <c r="A83" s="20">
        <v>1</v>
      </c>
      <c r="B83" s="21">
        <f t="shared" ca="1" si="1"/>
        <v>46012.017194097221</v>
      </c>
      <c r="C83" s="18"/>
      <c r="D83" s="18"/>
    </row>
    <row r="84" spans="1:4" x14ac:dyDescent="0.3">
      <c r="A84" s="20">
        <v>2</v>
      </c>
      <c r="B84" s="21">
        <f t="shared" ca="1" si="1"/>
        <v>46012.017194097221</v>
      </c>
      <c r="C84" s="18"/>
      <c r="D84" s="18"/>
    </row>
    <row r="85" spans="1:4" x14ac:dyDescent="0.3">
      <c r="A85" s="20">
        <v>2</v>
      </c>
      <c r="B85" s="21">
        <f t="shared" ca="1" si="1"/>
        <v>46012.017194097221</v>
      </c>
      <c r="C85" s="18"/>
      <c r="D85" s="18"/>
    </row>
    <row r="86" spans="1:4" x14ac:dyDescent="0.3">
      <c r="A86" s="20">
        <v>2</v>
      </c>
      <c r="B86" s="21">
        <f t="shared" ca="1" si="1"/>
        <v>46012.017194097221</v>
      </c>
      <c r="C86" s="18"/>
      <c r="D86" s="18"/>
    </row>
    <row r="87" spans="1:4" x14ac:dyDescent="0.3">
      <c r="A87" s="20">
        <v>0</v>
      </c>
      <c r="B87" s="21">
        <f t="shared" ca="1" si="1"/>
        <v>46012.017194097221</v>
      </c>
      <c r="C87" s="18"/>
      <c r="D87" s="18"/>
    </row>
    <row r="88" spans="1:4" x14ac:dyDescent="0.3">
      <c r="A88" s="20">
        <v>1</v>
      </c>
      <c r="B88" s="21">
        <f t="shared" ca="1" si="1"/>
        <v>46012.017194097221</v>
      </c>
      <c r="C88" s="18"/>
      <c r="D88" s="18"/>
    </row>
    <row r="89" spans="1:4" x14ac:dyDescent="0.3">
      <c r="A89" s="20">
        <v>1</v>
      </c>
      <c r="B89" s="21">
        <f t="shared" ca="1" si="1"/>
        <v>46012.017194097221</v>
      </c>
      <c r="C89" s="18"/>
      <c r="D89" s="18"/>
    </row>
    <row r="90" spans="1:4" x14ac:dyDescent="0.3">
      <c r="A90" s="20">
        <v>2</v>
      </c>
      <c r="B90" s="21">
        <f t="shared" ca="1" si="1"/>
        <v>46012.017194097221</v>
      </c>
      <c r="C90" s="18"/>
      <c r="D90" s="18"/>
    </row>
    <row r="91" spans="1:4" x14ac:dyDescent="0.3">
      <c r="A91" s="20">
        <v>2</v>
      </c>
      <c r="B91" s="21">
        <f t="shared" ca="1" si="1"/>
        <v>46012.017194097221</v>
      </c>
      <c r="C91" s="18"/>
      <c r="D91" s="18"/>
    </row>
    <row r="92" spans="1:4" x14ac:dyDescent="0.3">
      <c r="A92" s="20">
        <v>2</v>
      </c>
      <c r="B92" s="21">
        <f t="shared" ca="1" si="1"/>
        <v>46012.017194097221</v>
      </c>
      <c r="C92" s="18"/>
      <c r="D92" s="18"/>
    </row>
    <row r="93" spans="1:4" x14ac:dyDescent="0.3">
      <c r="A93" s="20">
        <v>1</v>
      </c>
      <c r="B93" s="21">
        <f t="shared" ca="1" si="1"/>
        <v>46012.017194097221</v>
      </c>
      <c r="C93" s="18"/>
      <c r="D93" s="18"/>
    </row>
    <row r="94" spans="1:4" x14ac:dyDescent="0.3">
      <c r="A94" s="20">
        <v>1</v>
      </c>
      <c r="B94" s="21">
        <f t="shared" ca="1" si="1"/>
        <v>46012.017194097221</v>
      </c>
      <c r="C94" s="18"/>
      <c r="D94" s="18"/>
    </row>
    <row r="95" spans="1:4" x14ac:dyDescent="0.3">
      <c r="A95" s="20">
        <v>2</v>
      </c>
      <c r="B95" s="21">
        <f t="shared" ca="1" si="1"/>
        <v>46012.017194097221</v>
      </c>
      <c r="C95" s="18"/>
      <c r="D95" s="18"/>
    </row>
    <row r="96" spans="1:4" x14ac:dyDescent="0.3">
      <c r="A96" s="20">
        <v>2</v>
      </c>
      <c r="B96" s="21">
        <f t="shared" ca="1" si="1"/>
        <v>46012.017194097221</v>
      </c>
      <c r="C96" s="18"/>
      <c r="D96" s="18"/>
    </row>
    <row r="97" spans="1:4" x14ac:dyDescent="0.3">
      <c r="A97" s="20">
        <v>0</v>
      </c>
      <c r="B97" s="21">
        <f t="shared" ca="1" si="1"/>
        <v>46012.017194097221</v>
      </c>
      <c r="C97" s="18"/>
      <c r="D97" s="18"/>
    </row>
    <row r="98" spans="1:4" x14ac:dyDescent="0.3">
      <c r="A98" s="20">
        <v>2</v>
      </c>
      <c r="B98" s="21">
        <f t="shared" ca="1" si="1"/>
        <v>46012.017194097221</v>
      </c>
      <c r="C98" s="18"/>
      <c r="D98" s="18"/>
    </row>
    <row r="99" spans="1:4" x14ac:dyDescent="0.3">
      <c r="A99" s="20">
        <v>2</v>
      </c>
      <c r="B99" s="21">
        <f t="shared" ca="1" si="1"/>
        <v>46012.017194097221</v>
      </c>
      <c r="C99" s="18"/>
      <c r="D99" s="18"/>
    </row>
    <row r="100" spans="1:4" x14ac:dyDescent="0.3">
      <c r="A100" s="20">
        <v>2</v>
      </c>
      <c r="B100" s="21">
        <f t="shared" ca="1" si="1"/>
        <v>46012.017194097221</v>
      </c>
      <c r="C100" s="18"/>
      <c r="D100" s="18"/>
    </row>
    <row r="101" spans="1:4" x14ac:dyDescent="0.3">
      <c r="A101" s="20">
        <v>0</v>
      </c>
      <c r="B101" s="21">
        <f t="shared" ca="1" si="1"/>
        <v>46012.017194097221</v>
      </c>
      <c r="C101" s="18"/>
      <c r="D101" s="18"/>
    </row>
    <row r="102" spans="1:4" x14ac:dyDescent="0.3">
      <c r="A102" s="20">
        <v>3</v>
      </c>
      <c r="B102" s="21">
        <f t="shared" ca="1" si="1"/>
        <v>46012.017194097221</v>
      </c>
      <c r="C102" s="18"/>
      <c r="D102" s="18"/>
    </row>
    <row r="103" spans="1:4" x14ac:dyDescent="0.3">
      <c r="A103" s="20">
        <v>2</v>
      </c>
      <c r="B103" s="21">
        <f t="shared" ca="1" si="1"/>
        <v>46012.017194097221</v>
      </c>
      <c r="C103" s="18"/>
      <c r="D103" s="18"/>
    </row>
    <row r="104" spans="1:4" x14ac:dyDescent="0.3">
      <c r="A104" s="20">
        <v>0</v>
      </c>
      <c r="B104" s="21">
        <f t="shared" ca="1" si="1"/>
        <v>46012.017194097221</v>
      </c>
      <c r="C104" s="18"/>
      <c r="D104" s="18"/>
    </row>
    <row r="105" spans="1:4" x14ac:dyDescent="0.3">
      <c r="A105" s="20">
        <v>1</v>
      </c>
      <c r="B105" s="21">
        <f t="shared" ca="1" si="1"/>
        <v>46012.017194097221</v>
      </c>
      <c r="C105" s="18"/>
      <c r="D105" s="18"/>
    </row>
    <row r="106" spans="1:4" x14ac:dyDescent="0.3">
      <c r="A106" s="20">
        <v>2</v>
      </c>
      <c r="B106" s="21">
        <f t="shared" ca="1" si="1"/>
        <v>46012.017194097221</v>
      </c>
      <c r="C106" s="18"/>
      <c r="D106" s="18"/>
    </row>
    <row r="107" spans="1:4" x14ac:dyDescent="0.3">
      <c r="A107" s="20">
        <v>2</v>
      </c>
      <c r="B107" s="21">
        <f t="shared" ca="1" si="1"/>
        <v>46012.017194097221</v>
      </c>
      <c r="C107" s="18"/>
      <c r="D107" s="18"/>
    </row>
    <row r="108" spans="1:4" x14ac:dyDescent="0.3">
      <c r="A108" s="20">
        <v>2</v>
      </c>
      <c r="B108" s="21">
        <f t="shared" ca="1" si="1"/>
        <v>46012.017194097221</v>
      </c>
      <c r="C108" s="18"/>
      <c r="D108" s="18"/>
    </row>
    <row r="109" spans="1:4" x14ac:dyDescent="0.3">
      <c r="A109" s="20">
        <v>2</v>
      </c>
      <c r="B109" s="21">
        <f t="shared" ca="1" si="1"/>
        <v>46012.017194097221</v>
      </c>
      <c r="C109" s="18"/>
      <c r="D109" s="18"/>
    </row>
    <row r="110" spans="1:4" x14ac:dyDescent="0.3">
      <c r="A110" s="20">
        <v>2</v>
      </c>
      <c r="B110" s="21">
        <f t="shared" ca="1" si="1"/>
        <v>46012.017194097221</v>
      </c>
      <c r="C110" s="18"/>
      <c r="D110" s="18"/>
    </row>
    <row r="111" spans="1:4" x14ac:dyDescent="0.3">
      <c r="A111" s="20">
        <v>2</v>
      </c>
      <c r="B111" s="21">
        <f t="shared" ca="1" si="1"/>
        <v>46012.017194097221</v>
      </c>
      <c r="C111" s="18"/>
      <c r="D111" s="18"/>
    </row>
    <row r="112" spans="1:4" x14ac:dyDescent="0.3">
      <c r="A112" s="20">
        <v>1</v>
      </c>
      <c r="B112" s="21">
        <f t="shared" ca="1" si="1"/>
        <v>46012.017194097221</v>
      </c>
      <c r="C112" s="18"/>
      <c r="D112" s="18"/>
    </row>
    <row r="113" spans="1:4" x14ac:dyDescent="0.3">
      <c r="A113" s="20">
        <v>1</v>
      </c>
      <c r="B113" s="21">
        <f t="shared" ca="1" si="1"/>
        <v>46012.017194097221</v>
      </c>
      <c r="C113" s="18"/>
      <c r="D113" s="18"/>
    </row>
    <row r="114" spans="1:4" x14ac:dyDescent="0.3">
      <c r="A114" s="20">
        <v>2</v>
      </c>
      <c r="B114" s="21">
        <f t="shared" ca="1" si="1"/>
        <v>46012.017194097221</v>
      </c>
      <c r="C114" s="18"/>
      <c r="D114" s="18"/>
    </row>
    <row r="115" spans="1:4" x14ac:dyDescent="0.3">
      <c r="A115" s="20">
        <v>3</v>
      </c>
      <c r="B115" s="21">
        <f t="shared" ca="1" si="1"/>
        <v>46012.017194097221</v>
      </c>
      <c r="C115" s="18"/>
      <c r="D115" s="18"/>
    </row>
    <row r="116" spans="1:4" x14ac:dyDescent="0.3">
      <c r="A116" s="20">
        <v>2</v>
      </c>
      <c r="B116" s="21">
        <f t="shared" ca="1" si="1"/>
        <v>46012.017194097221</v>
      </c>
      <c r="C116" s="18"/>
      <c r="D116" s="18"/>
    </row>
    <row r="117" spans="1:4" x14ac:dyDescent="0.3">
      <c r="A117" s="20">
        <v>2</v>
      </c>
      <c r="B117" s="21">
        <f t="shared" ca="1" si="1"/>
        <v>46012.017194097221</v>
      </c>
      <c r="C117" s="18"/>
      <c r="D117" s="18"/>
    </row>
    <row r="118" spans="1:4" x14ac:dyDescent="0.3">
      <c r="A118" s="20">
        <v>1</v>
      </c>
      <c r="B118" s="21">
        <f t="shared" ca="1" si="1"/>
        <v>46012.017194097221</v>
      </c>
      <c r="C118" s="18"/>
      <c r="D118" s="18"/>
    </row>
    <row r="119" spans="1:4" x14ac:dyDescent="0.3">
      <c r="A119" s="20">
        <v>1</v>
      </c>
      <c r="B119" s="21">
        <f t="shared" ca="1" si="1"/>
        <v>46012.017194097221</v>
      </c>
      <c r="C119" s="18"/>
      <c r="D119" s="18"/>
    </row>
    <row r="120" spans="1:4" x14ac:dyDescent="0.3">
      <c r="A120" s="20">
        <v>2</v>
      </c>
      <c r="B120" s="21">
        <f t="shared" ca="1" si="1"/>
        <v>46012.017194097221</v>
      </c>
      <c r="C120" s="18"/>
      <c r="D120" s="18"/>
    </row>
    <row r="121" spans="1:4" x14ac:dyDescent="0.3">
      <c r="A121" s="20">
        <v>1</v>
      </c>
      <c r="B121" s="21">
        <f t="shared" ca="1" si="1"/>
        <v>46012.017194097221</v>
      </c>
      <c r="C121" s="18"/>
      <c r="D121" s="18"/>
    </row>
    <row r="122" spans="1:4" x14ac:dyDescent="0.3">
      <c r="A122" s="20">
        <v>3</v>
      </c>
      <c r="B122" s="21">
        <f t="shared" ca="1" si="1"/>
        <v>46012.017194097221</v>
      </c>
      <c r="C122" s="18"/>
      <c r="D122" s="18"/>
    </row>
    <row r="123" spans="1:4" x14ac:dyDescent="0.3">
      <c r="A123" s="20">
        <v>2</v>
      </c>
      <c r="B123" s="21">
        <f t="shared" ca="1" si="1"/>
        <v>46012.017194097221</v>
      </c>
      <c r="C123" s="18"/>
      <c r="D123" s="18"/>
    </row>
    <row r="124" spans="1:4" x14ac:dyDescent="0.3">
      <c r="A124" s="20">
        <v>1</v>
      </c>
      <c r="B124" s="21">
        <f t="shared" ca="1" si="1"/>
        <v>46012.017194097221</v>
      </c>
      <c r="C124" s="18"/>
      <c r="D124" s="18"/>
    </row>
    <row r="125" spans="1:4" x14ac:dyDescent="0.3">
      <c r="A125" s="20">
        <v>0</v>
      </c>
      <c r="B125" s="21">
        <f t="shared" ca="1" si="1"/>
        <v>46012.017194097221</v>
      </c>
      <c r="C125" s="18"/>
      <c r="D125" s="18"/>
    </row>
    <row r="126" spans="1:4" x14ac:dyDescent="0.3">
      <c r="A126" s="20">
        <v>1</v>
      </c>
      <c r="B126" s="21">
        <f t="shared" ca="1" si="1"/>
        <v>46012.017194097221</v>
      </c>
      <c r="C126" s="18"/>
      <c r="D126" s="18"/>
    </row>
    <row r="127" spans="1:4" x14ac:dyDescent="0.3">
      <c r="A127" s="20">
        <v>1</v>
      </c>
      <c r="B127" s="21">
        <f t="shared" ca="1" si="1"/>
        <v>46012.017194097221</v>
      </c>
      <c r="C127" s="18"/>
      <c r="D127" s="18"/>
    </row>
    <row r="128" spans="1:4" x14ac:dyDescent="0.3">
      <c r="A128" s="20">
        <v>0</v>
      </c>
      <c r="B128" s="21">
        <f t="shared" ca="1" si="1"/>
        <v>46012.017194097221</v>
      </c>
      <c r="C128" s="18"/>
      <c r="D128" s="18"/>
    </row>
    <row r="129" spans="1:4" x14ac:dyDescent="0.3">
      <c r="A129" s="20">
        <v>1</v>
      </c>
      <c r="B129" s="21">
        <f t="shared" ca="1" si="1"/>
        <v>46012.017194097221</v>
      </c>
      <c r="C129" s="18"/>
      <c r="D129" s="18"/>
    </row>
    <row r="130" spans="1:4" x14ac:dyDescent="0.3">
      <c r="A130" s="20">
        <v>0</v>
      </c>
      <c r="B130" s="21">
        <f t="shared" ca="1" si="1"/>
        <v>46012.017194097221</v>
      </c>
      <c r="C130" s="18"/>
      <c r="D130" s="18"/>
    </row>
    <row r="131" spans="1:4" x14ac:dyDescent="0.3">
      <c r="A131" s="20">
        <v>0</v>
      </c>
      <c r="B131" s="21">
        <f t="shared" ref="B131:B194" ca="1" si="2">NOW()</f>
        <v>46012.017194097221</v>
      </c>
      <c r="C131" s="18"/>
      <c r="D131" s="18"/>
    </row>
    <row r="132" spans="1:4" x14ac:dyDescent="0.3">
      <c r="A132" s="20">
        <v>1</v>
      </c>
      <c r="B132" s="21">
        <f t="shared" ca="1" si="2"/>
        <v>46012.017194097221</v>
      </c>
      <c r="C132" s="18"/>
      <c r="D132" s="18"/>
    </row>
    <row r="133" spans="1:4" x14ac:dyDescent="0.3">
      <c r="A133" s="20">
        <v>2</v>
      </c>
      <c r="B133" s="21">
        <f t="shared" ca="1" si="2"/>
        <v>46012.017194097221</v>
      </c>
      <c r="C133" s="18"/>
      <c r="D133" s="18"/>
    </row>
    <row r="134" spans="1:4" x14ac:dyDescent="0.3">
      <c r="A134" s="20">
        <v>3</v>
      </c>
      <c r="B134" s="21">
        <f t="shared" ca="1" si="2"/>
        <v>46012.017194097221</v>
      </c>
      <c r="C134" s="18"/>
      <c r="D134" s="18"/>
    </row>
    <row r="135" spans="1:4" x14ac:dyDescent="0.3">
      <c r="A135" s="20">
        <v>1</v>
      </c>
      <c r="B135" s="21">
        <f t="shared" ca="1" si="2"/>
        <v>46012.017194097221</v>
      </c>
      <c r="C135" s="18"/>
      <c r="D135" s="18"/>
    </row>
    <row r="136" spans="1:4" x14ac:dyDescent="0.3">
      <c r="A136" s="20">
        <v>2</v>
      </c>
      <c r="B136" s="21">
        <f t="shared" ca="1" si="2"/>
        <v>46012.017194097221</v>
      </c>
      <c r="C136" s="18"/>
      <c r="D136" s="18"/>
    </row>
    <row r="137" spans="1:4" x14ac:dyDescent="0.3">
      <c r="A137" s="20">
        <v>2</v>
      </c>
      <c r="B137" s="21">
        <f t="shared" ca="1" si="2"/>
        <v>46012.017194097221</v>
      </c>
      <c r="C137" s="18"/>
      <c r="D137" s="18"/>
    </row>
    <row r="138" spans="1:4" x14ac:dyDescent="0.3">
      <c r="A138" s="20">
        <v>1</v>
      </c>
      <c r="B138" s="21">
        <f t="shared" ca="1" si="2"/>
        <v>46012.017194097221</v>
      </c>
      <c r="C138" s="18"/>
      <c r="D138" s="18"/>
    </row>
    <row r="139" spans="1:4" x14ac:dyDescent="0.3">
      <c r="A139" s="20">
        <v>3</v>
      </c>
      <c r="B139" s="21">
        <f t="shared" ca="1" si="2"/>
        <v>46012.017194097221</v>
      </c>
      <c r="C139" s="18"/>
      <c r="D139" s="18"/>
    </row>
    <row r="140" spans="1:4" x14ac:dyDescent="0.3">
      <c r="A140" s="20">
        <v>3</v>
      </c>
      <c r="B140" s="21">
        <f t="shared" ca="1" si="2"/>
        <v>46012.017194097221</v>
      </c>
      <c r="C140" s="18"/>
      <c r="D140" s="18"/>
    </row>
    <row r="141" spans="1:4" x14ac:dyDescent="0.3">
      <c r="A141" s="20">
        <v>2</v>
      </c>
      <c r="B141" s="21">
        <f t="shared" ca="1" si="2"/>
        <v>46012.017194097221</v>
      </c>
      <c r="C141" s="18"/>
      <c r="D141" s="18"/>
    </row>
    <row r="142" spans="1:4" x14ac:dyDescent="0.3">
      <c r="A142" s="20">
        <v>2</v>
      </c>
      <c r="B142" s="21">
        <f t="shared" ca="1" si="2"/>
        <v>46012.017194097221</v>
      </c>
      <c r="C142" s="18"/>
      <c r="D142" s="18"/>
    </row>
    <row r="143" spans="1:4" x14ac:dyDescent="0.3">
      <c r="A143" s="20">
        <v>2</v>
      </c>
      <c r="B143" s="21">
        <f t="shared" ca="1" si="2"/>
        <v>46012.017194097221</v>
      </c>
      <c r="C143" s="18"/>
      <c r="D143" s="18"/>
    </row>
    <row r="144" spans="1:4" x14ac:dyDescent="0.3">
      <c r="A144" s="20">
        <v>2</v>
      </c>
      <c r="B144" s="21">
        <f t="shared" ca="1" si="2"/>
        <v>46012.017194097221</v>
      </c>
      <c r="C144" s="18"/>
      <c r="D144" s="18"/>
    </row>
    <row r="145" spans="1:4" x14ac:dyDescent="0.3">
      <c r="A145" s="20">
        <v>2</v>
      </c>
      <c r="B145" s="21">
        <f t="shared" ca="1" si="2"/>
        <v>46012.017194097221</v>
      </c>
      <c r="C145" s="18"/>
      <c r="D145" s="18"/>
    </row>
    <row r="146" spans="1:4" x14ac:dyDescent="0.3">
      <c r="A146" s="20">
        <v>1</v>
      </c>
      <c r="B146" s="21">
        <f t="shared" ca="1" si="2"/>
        <v>46012.017194097221</v>
      </c>
      <c r="C146" s="18"/>
      <c r="D146" s="18"/>
    </row>
    <row r="147" spans="1:4" x14ac:dyDescent="0.3">
      <c r="A147" s="20">
        <v>0</v>
      </c>
      <c r="B147" s="21">
        <f t="shared" ca="1" si="2"/>
        <v>46012.017194097221</v>
      </c>
      <c r="C147" s="18"/>
      <c r="D147" s="18"/>
    </row>
    <row r="148" spans="1:4" x14ac:dyDescent="0.3">
      <c r="A148" s="20">
        <v>2</v>
      </c>
      <c r="B148" s="21">
        <f t="shared" ca="1" si="2"/>
        <v>46012.017194097221</v>
      </c>
      <c r="C148" s="18"/>
      <c r="D148" s="18"/>
    </row>
    <row r="149" spans="1:4" x14ac:dyDescent="0.3">
      <c r="A149" s="20">
        <v>2</v>
      </c>
      <c r="B149" s="21">
        <f t="shared" ca="1" si="2"/>
        <v>46012.017194097221</v>
      </c>
      <c r="C149" s="18"/>
      <c r="D149" s="18"/>
    </row>
    <row r="150" spans="1:4" x14ac:dyDescent="0.3">
      <c r="A150" s="20">
        <v>3</v>
      </c>
      <c r="B150" s="21">
        <f t="shared" ca="1" si="2"/>
        <v>46012.017194097221</v>
      </c>
      <c r="C150" s="18"/>
      <c r="D150" s="18"/>
    </row>
    <row r="151" spans="1:4" x14ac:dyDescent="0.3">
      <c r="A151" s="20">
        <v>2</v>
      </c>
      <c r="B151" s="21">
        <f t="shared" ca="1" si="2"/>
        <v>46012.017194097221</v>
      </c>
      <c r="C151" s="18"/>
      <c r="D151" s="18"/>
    </row>
    <row r="152" spans="1:4" x14ac:dyDescent="0.3">
      <c r="A152" s="20">
        <v>2</v>
      </c>
      <c r="B152" s="21">
        <f t="shared" ca="1" si="2"/>
        <v>46012.017194097221</v>
      </c>
      <c r="C152" s="18"/>
      <c r="D152" s="18"/>
    </row>
    <row r="153" spans="1:4" x14ac:dyDescent="0.3">
      <c r="A153" s="20">
        <v>2</v>
      </c>
      <c r="B153" s="21">
        <f t="shared" ca="1" si="2"/>
        <v>46012.017194097221</v>
      </c>
      <c r="C153" s="18"/>
      <c r="D153" s="18"/>
    </row>
    <row r="154" spans="1:4" x14ac:dyDescent="0.3">
      <c r="A154" s="20">
        <v>1</v>
      </c>
      <c r="B154" s="21">
        <f t="shared" ca="1" si="2"/>
        <v>46012.017194097221</v>
      </c>
      <c r="C154" s="18"/>
      <c r="D154" s="18"/>
    </row>
    <row r="155" spans="1:4" x14ac:dyDescent="0.3">
      <c r="A155" s="20">
        <v>2</v>
      </c>
      <c r="B155" s="21">
        <f t="shared" ca="1" si="2"/>
        <v>46012.017194097221</v>
      </c>
      <c r="C155" s="18"/>
      <c r="D155" s="18"/>
    </row>
    <row r="156" spans="1:4" x14ac:dyDescent="0.3">
      <c r="A156" s="20">
        <v>3</v>
      </c>
      <c r="B156" s="21">
        <f t="shared" ca="1" si="2"/>
        <v>46012.017194097221</v>
      </c>
      <c r="C156" s="18"/>
      <c r="D156" s="18"/>
    </row>
    <row r="157" spans="1:4" x14ac:dyDescent="0.3">
      <c r="A157" s="20">
        <v>3</v>
      </c>
      <c r="B157" s="21">
        <f t="shared" ca="1" si="2"/>
        <v>46012.017194097221</v>
      </c>
      <c r="C157" s="18"/>
      <c r="D157" s="18"/>
    </row>
    <row r="158" spans="1:4" x14ac:dyDescent="0.3">
      <c r="A158" s="20">
        <v>1</v>
      </c>
      <c r="B158" s="21">
        <f t="shared" ca="1" si="2"/>
        <v>46012.017194097221</v>
      </c>
      <c r="C158" s="18"/>
      <c r="D158" s="18"/>
    </row>
    <row r="159" spans="1:4" x14ac:dyDescent="0.3">
      <c r="A159" s="20">
        <v>1</v>
      </c>
      <c r="B159" s="21">
        <f t="shared" ca="1" si="2"/>
        <v>46012.017194097221</v>
      </c>
      <c r="C159" s="18"/>
      <c r="D159" s="18"/>
    </row>
    <row r="160" spans="1:4" x14ac:dyDescent="0.3">
      <c r="A160" s="20">
        <v>2</v>
      </c>
      <c r="B160" s="21">
        <f t="shared" ca="1" si="2"/>
        <v>46012.017194097221</v>
      </c>
      <c r="C160" s="18"/>
      <c r="D160" s="18"/>
    </row>
    <row r="161" spans="1:4" x14ac:dyDescent="0.3">
      <c r="A161" s="20">
        <v>3</v>
      </c>
      <c r="B161" s="21">
        <f t="shared" ca="1" si="2"/>
        <v>46012.017194097221</v>
      </c>
      <c r="C161" s="18"/>
      <c r="D161" s="18"/>
    </row>
    <row r="162" spans="1:4" x14ac:dyDescent="0.3">
      <c r="A162" s="20">
        <v>1</v>
      </c>
      <c r="B162" s="21">
        <f t="shared" ca="1" si="2"/>
        <v>46012.017194097221</v>
      </c>
      <c r="C162" s="18"/>
      <c r="D162" s="18"/>
    </row>
    <row r="163" spans="1:4" x14ac:dyDescent="0.3">
      <c r="A163" s="20">
        <v>1</v>
      </c>
      <c r="B163" s="21">
        <f t="shared" ca="1" si="2"/>
        <v>46012.017194097221</v>
      </c>
      <c r="C163" s="18"/>
      <c r="D163" s="18"/>
    </row>
    <row r="164" spans="1:4" x14ac:dyDescent="0.3">
      <c r="A164" s="20">
        <v>2</v>
      </c>
      <c r="B164" s="21">
        <f t="shared" ca="1" si="2"/>
        <v>46012.017194097221</v>
      </c>
      <c r="C164" s="18"/>
      <c r="D164" s="18"/>
    </row>
    <row r="165" spans="1:4" x14ac:dyDescent="0.3">
      <c r="A165" s="20">
        <v>3</v>
      </c>
      <c r="B165" s="21">
        <f t="shared" ca="1" si="2"/>
        <v>46012.017194097221</v>
      </c>
      <c r="C165" s="18"/>
      <c r="D165" s="18"/>
    </row>
    <row r="166" spans="1:4" x14ac:dyDescent="0.3">
      <c r="A166" s="20">
        <v>1</v>
      </c>
      <c r="B166" s="21">
        <f t="shared" ca="1" si="2"/>
        <v>46012.017194097221</v>
      </c>
      <c r="C166" s="18"/>
      <c r="D166" s="18"/>
    </row>
    <row r="167" spans="1:4" x14ac:dyDescent="0.3">
      <c r="A167" s="20">
        <v>2</v>
      </c>
      <c r="B167" s="21">
        <f t="shared" ca="1" si="2"/>
        <v>46012.017194097221</v>
      </c>
      <c r="C167" s="18"/>
      <c r="D167" s="18"/>
    </row>
    <row r="168" spans="1:4" x14ac:dyDescent="0.3">
      <c r="A168" s="20">
        <v>1</v>
      </c>
      <c r="B168" s="21">
        <f t="shared" ca="1" si="2"/>
        <v>46012.017194097221</v>
      </c>
      <c r="C168" s="18"/>
      <c r="D168" s="18"/>
    </row>
    <row r="169" spans="1:4" x14ac:dyDescent="0.3">
      <c r="A169" s="20">
        <v>2</v>
      </c>
      <c r="B169" s="21">
        <f t="shared" ca="1" si="2"/>
        <v>46012.017194097221</v>
      </c>
      <c r="C169" s="18"/>
      <c r="D169" s="18"/>
    </row>
    <row r="170" spans="1:4" x14ac:dyDescent="0.3">
      <c r="A170" s="20">
        <v>2</v>
      </c>
      <c r="B170" s="21">
        <f t="shared" ca="1" si="2"/>
        <v>46012.017194097221</v>
      </c>
      <c r="C170" s="18"/>
      <c r="D170" s="18"/>
    </row>
    <row r="171" spans="1:4" x14ac:dyDescent="0.3">
      <c r="A171" s="20">
        <v>1</v>
      </c>
      <c r="B171" s="21">
        <f t="shared" ca="1" si="2"/>
        <v>46012.017194097221</v>
      </c>
      <c r="C171" s="18"/>
      <c r="D171" s="18"/>
    </row>
    <row r="172" spans="1:4" x14ac:dyDescent="0.3">
      <c r="A172" s="20">
        <v>1</v>
      </c>
      <c r="B172" s="21">
        <f t="shared" ca="1" si="2"/>
        <v>46012.017194097221</v>
      </c>
      <c r="C172" s="18"/>
      <c r="D172" s="18"/>
    </row>
    <row r="173" spans="1:4" x14ac:dyDescent="0.3">
      <c r="A173" s="20">
        <v>3</v>
      </c>
      <c r="B173" s="21">
        <f t="shared" ca="1" si="2"/>
        <v>46012.017194097221</v>
      </c>
      <c r="C173" s="18"/>
      <c r="D173" s="18"/>
    </row>
    <row r="174" spans="1:4" x14ac:dyDescent="0.3">
      <c r="A174" s="20">
        <v>2</v>
      </c>
      <c r="B174" s="21">
        <f t="shared" ca="1" si="2"/>
        <v>46012.017194097221</v>
      </c>
      <c r="C174" s="18"/>
      <c r="D174" s="18"/>
    </row>
    <row r="175" spans="1:4" x14ac:dyDescent="0.3">
      <c r="A175" s="20">
        <v>2</v>
      </c>
      <c r="B175" s="21">
        <f t="shared" ca="1" si="2"/>
        <v>46012.017194097221</v>
      </c>
      <c r="C175" s="18"/>
      <c r="D175" s="18"/>
    </row>
    <row r="176" spans="1:4" x14ac:dyDescent="0.3">
      <c r="A176" s="20">
        <v>3</v>
      </c>
      <c r="B176" s="21">
        <f t="shared" ca="1" si="2"/>
        <v>46012.017194097221</v>
      </c>
      <c r="C176" s="18"/>
      <c r="D176" s="18"/>
    </row>
    <row r="177" spans="1:4" x14ac:dyDescent="0.3">
      <c r="A177" s="20">
        <v>2</v>
      </c>
      <c r="B177" s="21">
        <f t="shared" ca="1" si="2"/>
        <v>46012.017194097221</v>
      </c>
      <c r="C177" s="18"/>
      <c r="D177" s="18"/>
    </row>
    <row r="178" spans="1:4" x14ac:dyDescent="0.3">
      <c r="A178" s="20">
        <v>0</v>
      </c>
      <c r="B178" s="21">
        <f t="shared" ca="1" si="2"/>
        <v>46012.017194097221</v>
      </c>
      <c r="C178" s="18"/>
      <c r="D178" s="18"/>
    </row>
    <row r="179" spans="1:4" x14ac:dyDescent="0.3">
      <c r="A179" s="20">
        <v>1</v>
      </c>
      <c r="B179" s="21">
        <f t="shared" ca="1" si="2"/>
        <v>46012.017194097221</v>
      </c>
      <c r="C179" s="18"/>
      <c r="D179" s="18"/>
    </row>
    <row r="180" spans="1:4" x14ac:dyDescent="0.3">
      <c r="A180" s="20">
        <v>3</v>
      </c>
      <c r="B180" s="21">
        <f t="shared" ca="1" si="2"/>
        <v>46012.017194097221</v>
      </c>
      <c r="C180" s="18"/>
      <c r="D180" s="18"/>
    </row>
    <row r="181" spans="1:4" x14ac:dyDescent="0.3">
      <c r="A181" s="20">
        <v>2</v>
      </c>
      <c r="B181" s="21">
        <f t="shared" ca="1" si="2"/>
        <v>46012.017194097221</v>
      </c>
      <c r="C181" s="18"/>
      <c r="D181" s="18"/>
    </row>
    <row r="182" spans="1:4" x14ac:dyDescent="0.3">
      <c r="A182" s="20">
        <v>2</v>
      </c>
      <c r="B182" s="21">
        <f t="shared" ca="1" si="2"/>
        <v>46012.017194097221</v>
      </c>
      <c r="C182" s="18"/>
      <c r="D182" s="18"/>
    </row>
    <row r="183" spans="1:4" x14ac:dyDescent="0.3">
      <c r="A183" s="20">
        <v>3</v>
      </c>
      <c r="B183" s="21">
        <f t="shared" ca="1" si="2"/>
        <v>46012.017194097221</v>
      </c>
      <c r="C183" s="18"/>
      <c r="D183" s="18"/>
    </row>
    <row r="184" spans="1:4" x14ac:dyDescent="0.3">
      <c r="A184" s="20">
        <v>1</v>
      </c>
      <c r="B184" s="21">
        <f t="shared" ca="1" si="2"/>
        <v>46012.017194097221</v>
      </c>
      <c r="C184" s="18"/>
      <c r="D184" s="18"/>
    </row>
    <row r="185" spans="1:4" x14ac:dyDescent="0.3">
      <c r="A185" s="20">
        <v>2</v>
      </c>
      <c r="B185" s="21">
        <f t="shared" ca="1" si="2"/>
        <v>46012.017194097221</v>
      </c>
      <c r="C185" s="18"/>
      <c r="D185" s="18"/>
    </row>
    <row r="186" spans="1:4" x14ac:dyDescent="0.3">
      <c r="A186" s="20">
        <v>0</v>
      </c>
      <c r="B186" s="21">
        <f t="shared" ca="1" si="2"/>
        <v>46012.017194097221</v>
      </c>
      <c r="C186" s="18"/>
      <c r="D186" s="18"/>
    </row>
    <row r="187" spans="1:4" x14ac:dyDescent="0.3">
      <c r="A187" s="20">
        <v>3</v>
      </c>
      <c r="B187" s="21">
        <f t="shared" ca="1" si="2"/>
        <v>46012.017194097221</v>
      </c>
      <c r="C187" s="18"/>
      <c r="D187" s="18"/>
    </row>
    <row r="188" spans="1:4" x14ac:dyDescent="0.3">
      <c r="A188" s="20">
        <v>2</v>
      </c>
      <c r="B188" s="21">
        <f t="shared" ca="1" si="2"/>
        <v>46012.017194097221</v>
      </c>
      <c r="C188" s="18"/>
      <c r="D188" s="18"/>
    </row>
    <row r="189" spans="1:4" x14ac:dyDescent="0.3">
      <c r="A189" s="20">
        <v>0</v>
      </c>
      <c r="B189" s="21">
        <f t="shared" ca="1" si="2"/>
        <v>46012.017194097221</v>
      </c>
      <c r="C189" s="18"/>
      <c r="D189" s="18"/>
    </row>
    <row r="190" spans="1:4" x14ac:dyDescent="0.3">
      <c r="A190" s="20">
        <v>3</v>
      </c>
      <c r="B190" s="21">
        <f t="shared" ca="1" si="2"/>
        <v>46012.017194097221</v>
      </c>
      <c r="C190" s="18"/>
      <c r="D190" s="18"/>
    </row>
    <row r="191" spans="1:4" x14ac:dyDescent="0.3">
      <c r="A191" s="20">
        <v>3</v>
      </c>
      <c r="B191" s="21">
        <f t="shared" ca="1" si="2"/>
        <v>46012.017194097221</v>
      </c>
      <c r="C191" s="18"/>
      <c r="D191" s="18"/>
    </row>
    <row r="192" spans="1:4" x14ac:dyDescent="0.3">
      <c r="A192" s="20">
        <v>2</v>
      </c>
      <c r="B192" s="21">
        <f t="shared" ca="1" si="2"/>
        <v>46012.017194097221</v>
      </c>
      <c r="C192" s="18"/>
      <c r="D192" s="18"/>
    </row>
    <row r="193" spans="1:4" x14ac:dyDescent="0.3">
      <c r="A193" s="20">
        <v>1</v>
      </c>
      <c r="B193" s="21">
        <f t="shared" ca="1" si="2"/>
        <v>46012.017194097221</v>
      </c>
      <c r="C193" s="18"/>
      <c r="D193" s="18"/>
    </row>
    <row r="194" spans="1:4" x14ac:dyDescent="0.3">
      <c r="A194" s="20">
        <v>3</v>
      </c>
      <c r="B194" s="21">
        <f t="shared" ca="1" si="2"/>
        <v>46012.017194097221</v>
      </c>
      <c r="C194" s="18"/>
      <c r="D194" s="18"/>
    </row>
    <row r="195" spans="1:4" x14ac:dyDescent="0.3">
      <c r="A195" s="20">
        <v>3</v>
      </c>
      <c r="B195" s="21">
        <f t="shared" ref="B195:B251" ca="1" si="3">NOW()</f>
        <v>46012.017194097221</v>
      </c>
      <c r="C195" s="18"/>
      <c r="D195" s="18"/>
    </row>
    <row r="196" spans="1:4" x14ac:dyDescent="0.3">
      <c r="A196" s="20">
        <v>3</v>
      </c>
      <c r="B196" s="21">
        <f t="shared" ca="1" si="3"/>
        <v>46012.017194097221</v>
      </c>
      <c r="C196" s="18"/>
      <c r="D196" s="18"/>
    </row>
    <row r="197" spans="1:4" x14ac:dyDescent="0.3">
      <c r="A197" s="20">
        <v>2</v>
      </c>
      <c r="B197" s="21">
        <f t="shared" ca="1" si="3"/>
        <v>46012.017194097221</v>
      </c>
      <c r="C197" s="18"/>
      <c r="D197" s="18"/>
    </row>
    <row r="198" spans="1:4" x14ac:dyDescent="0.3">
      <c r="A198" s="20">
        <v>3</v>
      </c>
      <c r="B198" s="21">
        <f t="shared" ca="1" si="3"/>
        <v>46012.017194097221</v>
      </c>
      <c r="C198" s="18"/>
      <c r="D198" s="18"/>
    </row>
    <row r="199" spans="1:4" x14ac:dyDescent="0.3">
      <c r="A199" s="20">
        <v>1</v>
      </c>
      <c r="B199" s="21">
        <f t="shared" ca="1" si="3"/>
        <v>46012.017194097221</v>
      </c>
      <c r="C199" s="18"/>
      <c r="D199" s="18"/>
    </row>
    <row r="200" spans="1:4" x14ac:dyDescent="0.3">
      <c r="A200" s="20">
        <v>2</v>
      </c>
      <c r="B200" s="21">
        <f t="shared" ca="1" si="3"/>
        <v>46012.017194097221</v>
      </c>
      <c r="C200" s="18"/>
      <c r="D200" s="18"/>
    </row>
    <row r="201" spans="1:4" x14ac:dyDescent="0.3">
      <c r="A201" s="20">
        <v>2</v>
      </c>
      <c r="B201" s="21">
        <f t="shared" ca="1" si="3"/>
        <v>46012.017194097221</v>
      </c>
      <c r="C201" s="18"/>
      <c r="D201" s="18"/>
    </row>
    <row r="202" spans="1:4" x14ac:dyDescent="0.3">
      <c r="A202" s="20">
        <v>2</v>
      </c>
      <c r="B202" s="21">
        <f t="shared" ca="1" si="3"/>
        <v>46012.017194097221</v>
      </c>
      <c r="C202" s="18"/>
      <c r="D202" s="18"/>
    </row>
    <row r="203" spans="1:4" x14ac:dyDescent="0.3">
      <c r="A203" s="20">
        <v>2</v>
      </c>
      <c r="B203" s="21">
        <f t="shared" ca="1" si="3"/>
        <v>46012.017194097221</v>
      </c>
      <c r="C203" s="18"/>
      <c r="D203" s="18"/>
    </row>
    <row r="204" spans="1:4" x14ac:dyDescent="0.3">
      <c r="A204" s="20">
        <v>2</v>
      </c>
      <c r="B204" s="21">
        <f t="shared" ca="1" si="3"/>
        <v>46012.017194097221</v>
      </c>
      <c r="C204" s="18"/>
      <c r="D204" s="18"/>
    </row>
    <row r="205" spans="1:4" x14ac:dyDescent="0.3">
      <c r="A205" s="20">
        <v>1</v>
      </c>
      <c r="B205" s="21">
        <f t="shared" ca="1" si="3"/>
        <v>46012.017194097221</v>
      </c>
      <c r="C205" s="18"/>
      <c r="D205" s="18"/>
    </row>
    <row r="206" spans="1:4" x14ac:dyDescent="0.3">
      <c r="A206" s="20">
        <v>1</v>
      </c>
      <c r="B206" s="21">
        <f t="shared" ca="1" si="3"/>
        <v>46012.017194097221</v>
      </c>
      <c r="C206" s="18"/>
      <c r="D206" s="18"/>
    </row>
    <row r="207" spans="1:4" x14ac:dyDescent="0.3">
      <c r="A207" s="20">
        <v>3</v>
      </c>
      <c r="B207" s="21">
        <f t="shared" ca="1" si="3"/>
        <v>46012.017194097221</v>
      </c>
      <c r="C207" s="18"/>
      <c r="D207" s="18"/>
    </row>
    <row r="208" spans="1:4" x14ac:dyDescent="0.3">
      <c r="A208" s="20">
        <v>2</v>
      </c>
      <c r="B208" s="21">
        <f t="shared" ca="1" si="3"/>
        <v>46012.017194097221</v>
      </c>
      <c r="C208" s="18"/>
      <c r="D208" s="18"/>
    </row>
    <row r="209" spans="1:4" x14ac:dyDescent="0.3">
      <c r="A209" s="20">
        <v>1</v>
      </c>
      <c r="B209" s="21">
        <f t="shared" ca="1" si="3"/>
        <v>46012.017194097221</v>
      </c>
      <c r="C209" s="18"/>
      <c r="D209" s="18"/>
    </row>
    <row r="210" spans="1:4" x14ac:dyDescent="0.3">
      <c r="A210" s="20">
        <v>3</v>
      </c>
      <c r="B210" s="21">
        <f t="shared" ca="1" si="3"/>
        <v>46012.017194097221</v>
      </c>
      <c r="C210" s="18"/>
      <c r="D210" s="18"/>
    </row>
    <row r="211" spans="1:4" x14ac:dyDescent="0.3">
      <c r="A211" s="20">
        <v>2</v>
      </c>
      <c r="B211" s="21">
        <f t="shared" ca="1" si="3"/>
        <v>46012.017194097221</v>
      </c>
      <c r="C211" s="18"/>
      <c r="D211" s="18"/>
    </row>
    <row r="212" spans="1:4" x14ac:dyDescent="0.3">
      <c r="A212" s="20">
        <v>1</v>
      </c>
      <c r="B212" s="21">
        <f t="shared" ca="1" si="3"/>
        <v>46012.017194097221</v>
      </c>
      <c r="C212" s="18"/>
      <c r="D212" s="18"/>
    </row>
    <row r="213" spans="1:4" x14ac:dyDescent="0.3">
      <c r="A213" s="20">
        <v>2</v>
      </c>
      <c r="B213" s="21">
        <f t="shared" ca="1" si="3"/>
        <v>46012.017194097221</v>
      </c>
      <c r="C213" s="18"/>
      <c r="D213" s="18"/>
    </row>
    <row r="214" spans="1:4" x14ac:dyDescent="0.3">
      <c r="A214" s="20">
        <v>0</v>
      </c>
      <c r="B214" s="21">
        <f t="shared" ca="1" si="3"/>
        <v>46012.017194097221</v>
      </c>
      <c r="C214" s="18"/>
      <c r="D214" s="18"/>
    </row>
    <row r="215" spans="1:4" x14ac:dyDescent="0.3">
      <c r="A215" s="20">
        <v>2</v>
      </c>
      <c r="B215" s="21">
        <f t="shared" ca="1" si="3"/>
        <v>46012.017194097221</v>
      </c>
      <c r="C215" s="18"/>
      <c r="D215" s="18"/>
    </row>
    <row r="216" spans="1:4" x14ac:dyDescent="0.3">
      <c r="A216" s="20">
        <v>2</v>
      </c>
      <c r="B216" s="21">
        <f t="shared" ca="1" si="3"/>
        <v>46012.017194097221</v>
      </c>
      <c r="C216" s="18"/>
      <c r="D216" s="18"/>
    </row>
    <row r="217" spans="1:4" x14ac:dyDescent="0.3">
      <c r="A217" s="20">
        <v>2</v>
      </c>
      <c r="B217" s="21">
        <f t="shared" ca="1" si="3"/>
        <v>46012.017194097221</v>
      </c>
      <c r="C217" s="18"/>
      <c r="D217" s="18"/>
    </row>
    <row r="218" spans="1:4" x14ac:dyDescent="0.3">
      <c r="A218" s="20">
        <v>1</v>
      </c>
      <c r="B218" s="21">
        <f t="shared" ca="1" si="3"/>
        <v>46012.017194097221</v>
      </c>
      <c r="C218" s="18"/>
      <c r="D218" s="18"/>
    </row>
    <row r="219" spans="1:4" x14ac:dyDescent="0.3">
      <c r="A219" s="20">
        <v>2</v>
      </c>
      <c r="B219" s="21">
        <f t="shared" ca="1" si="3"/>
        <v>46012.017194097221</v>
      </c>
      <c r="C219" s="18"/>
      <c r="D219" s="18"/>
    </row>
    <row r="220" spans="1:4" x14ac:dyDescent="0.3">
      <c r="A220" s="20">
        <v>3</v>
      </c>
      <c r="B220" s="21">
        <f t="shared" ca="1" si="3"/>
        <v>46012.017194097221</v>
      </c>
      <c r="C220" s="18"/>
      <c r="D220" s="18"/>
    </row>
    <row r="221" spans="1:4" x14ac:dyDescent="0.3">
      <c r="A221" s="20">
        <v>3</v>
      </c>
      <c r="B221" s="21">
        <f t="shared" ca="1" si="3"/>
        <v>46012.017194097221</v>
      </c>
      <c r="C221" s="18"/>
      <c r="D221" s="18"/>
    </row>
    <row r="222" spans="1:4" x14ac:dyDescent="0.3">
      <c r="A222" s="20">
        <v>1</v>
      </c>
      <c r="B222" s="21">
        <f t="shared" ca="1" si="3"/>
        <v>46012.017194097221</v>
      </c>
      <c r="C222" s="18"/>
      <c r="D222" s="18"/>
    </row>
    <row r="223" spans="1:4" x14ac:dyDescent="0.3">
      <c r="A223" s="20">
        <v>3</v>
      </c>
      <c r="B223" s="21">
        <f t="shared" ca="1" si="3"/>
        <v>46012.017194097221</v>
      </c>
      <c r="C223" s="18"/>
      <c r="D223" s="18"/>
    </row>
    <row r="224" spans="1:4" x14ac:dyDescent="0.3">
      <c r="A224" s="20">
        <v>1</v>
      </c>
      <c r="B224" s="21">
        <f t="shared" ca="1" si="3"/>
        <v>46012.017194097221</v>
      </c>
      <c r="C224" s="18"/>
      <c r="D224" s="18"/>
    </row>
    <row r="225" spans="1:4" x14ac:dyDescent="0.3">
      <c r="A225" s="20">
        <v>3</v>
      </c>
      <c r="B225" s="21">
        <f t="shared" ca="1" si="3"/>
        <v>46012.017194097221</v>
      </c>
      <c r="C225" s="18"/>
      <c r="D225" s="18"/>
    </row>
    <row r="226" spans="1:4" x14ac:dyDescent="0.3">
      <c r="A226" s="20">
        <v>1</v>
      </c>
      <c r="B226" s="21">
        <f t="shared" ca="1" si="3"/>
        <v>46012.017194097221</v>
      </c>
      <c r="C226" s="18"/>
      <c r="D226" s="18"/>
    </row>
    <row r="227" spans="1:4" x14ac:dyDescent="0.3">
      <c r="A227" s="20">
        <v>1</v>
      </c>
      <c r="B227" s="21">
        <f t="shared" ca="1" si="3"/>
        <v>46012.017194097221</v>
      </c>
      <c r="C227" s="18"/>
      <c r="D227" s="18"/>
    </row>
    <row r="228" spans="1:4" x14ac:dyDescent="0.3">
      <c r="A228" s="20">
        <v>1</v>
      </c>
      <c r="B228" s="21">
        <f t="shared" ca="1" si="3"/>
        <v>46012.017194097221</v>
      </c>
      <c r="C228" s="18"/>
      <c r="D228" s="18"/>
    </row>
    <row r="229" spans="1:4" x14ac:dyDescent="0.3">
      <c r="A229" s="20">
        <v>1</v>
      </c>
      <c r="B229" s="21">
        <f t="shared" ca="1" si="3"/>
        <v>46012.017194097221</v>
      </c>
      <c r="C229" s="18"/>
      <c r="D229" s="18"/>
    </row>
    <row r="230" spans="1:4" x14ac:dyDescent="0.3">
      <c r="A230" s="20">
        <v>3</v>
      </c>
      <c r="B230" s="21">
        <f t="shared" ca="1" si="3"/>
        <v>46012.017194097221</v>
      </c>
      <c r="C230" s="18"/>
      <c r="D230" s="18"/>
    </row>
    <row r="231" spans="1:4" x14ac:dyDescent="0.3">
      <c r="A231" s="20">
        <v>2</v>
      </c>
      <c r="B231" s="21">
        <f t="shared" ca="1" si="3"/>
        <v>46012.017194097221</v>
      </c>
      <c r="C231" s="18"/>
      <c r="D231" s="18"/>
    </row>
    <row r="232" spans="1:4" x14ac:dyDescent="0.3">
      <c r="A232" s="20">
        <v>0</v>
      </c>
      <c r="B232" s="21">
        <f t="shared" ca="1" si="3"/>
        <v>46012.017194097221</v>
      </c>
      <c r="C232" s="18"/>
      <c r="D232" s="18"/>
    </row>
    <row r="233" spans="1:4" x14ac:dyDescent="0.3">
      <c r="A233" s="20">
        <v>1</v>
      </c>
      <c r="B233" s="21">
        <f t="shared" ca="1" si="3"/>
        <v>46012.017194097221</v>
      </c>
      <c r="C233" s="18"/>
      <c r="D233" s="18"/>
    </row>
    <row r="234" spans="1:4" x14ac:dyDescent="0.3">
      <c r="A234" s="20">
        <v>1</v>
      </c>
      <c r="B234" s="21">
        <f t="shared" ca="1" si="3"/>
        <v>46012.017194097221</v>
      </c>
      <c r="C234" s="18"/>
      <c r="D234" s="18"/>
    </row>
    <row r="235" spans="1:4" x14ac:dyDescent="0.3">
      <c r="A235" s="20">
        <v>1</v>
      </c>
      <c r="B235" s="21">
        <f t="shared" ca="1" si="3"/>
        <v>46012.017194097221</v>
      </c>
      <c r="C235" s="18"/>
      <c r="D235" s="18"/>
    </row>
    <row r="236" spans="1:4" x14ac:dyDescent="0.3">
      <c r="A236" s="20">
        <v>1</v>
      </c>
      <c r="B236" s="21">
        <f t="shared" ca="1" si="3"/>
        <v>46012.017194097221</v>
      </c>
      <c r="C236" s="18"/>
      <c r="D236" s="18"/>
    </row>
    <row r="237" spans="1:4" x14ac:dyDescent="0.3">
      <c r="A237" s="20">
        <v>2</v>
      </c>
      <c r="B237" s="21">
        <f t="shared" ca="1" si="3"/>
        <v>46012.017194097221</v>
      </c>
      <c r="C237" s="18"/>
      <c r="D237" s="18"/>
    </row>
    <row r="238" spans="1:4" x14ac:dyDescent="0.3">
      <c r="A238" s="20">
        <v>2</v>
      </c>
      <c r="B238" s="21">
        <f t="shared" ca="1" si="3"/>
        <v>46012.017194097221</v>
      </c>
      <c r="C238" s="18"/>
      <c r="D238" s="18"/>
    </row>
    <row r="239" spans="1:4" x14ac:dyDescent="0.3">
      <c r="A239" s="20">
        <v>1</v>
      </c>
      <c r="B239" s="21">
        <f t="shared" ca="1" si="3"/>
        <v>46012.017194097221</v>
      </c>
      <c r="C239" s="18"/>
      <c r="D239" s="18"/>
    </row>
    <row r="240" spans="1:4" x14ac:dyDescent="0.3">
      <c r="A240" s="20">
        <v>3</v>
      </c>
      <c r="B240" s="21">
        <f t="shared" ca="1" si="3"/>
        <v>46012.017194097221</v>
      </c>
      <c r="C240" s="18"/>
      <c r="D240" s="18"/>
    </row>
    <row r="241" spans="1:4" x14ac:dyDescent="0.3">
      <c r="A241" s="20">
        <v>1</v>
      </c>
      <c r="B241" s="21">
        <f t="shared" ca="1" si="3"/>
        <v>46012.017194097221</v>
      </c>
      <c r="C241" s="18"/>
      <c r="D241" s="18"/>
    </row>
    <row r="242" spans="1:4" x14ac:dyDescent="0.3">
      <c r="A242" s="20">
        <v>2</v>
      </c>
      <c r="B242" s="21">
        <f t="shared" ca="1" si="3"/>
        <v>46012.017194097221</v>
      </c>
      <c r="C242" s="18"/>
      <c r="D242" s="18"/>
    </row>
    <row r="243" spans="1:4" x14ac:dyDescent="0.3">
      <c r="A243" s="20">
        <v>1</v>
      </c>
      <c r="B243" s="21">
        <f t="shared" ca="1" si="3"/>
        <v>46012.017194097221</v>
      </c>
      <c r="C243" s="18"/>
      <c r="D243" s="18"/>
    </row>
    <row r="244" spans="1:4" x14ac:dyDescent="0.3">
      <c r="A244" s="20">
        <v>3</v>
      </c>
      <c r="B244" s="21">
        <f t="shared" ca="1" si="3"/>
        <v>46012.017194097221</v>
      </c>
      <c r="C244" s="18"/>
      <c r="D244" s="18"/>
    </row>
    <row r="245" spans="1:4" x14ac:dyDescent="0.3">
      <c r="A245" s="20">
        <v>3</v>
      </c>
      <c r="B245" s="21">
        <f t="shared" ca="1" si="3"/>
        <v>46012.017194097221</v>
      </c>
      <c r="C245" s="18"/>
      <c r="D245" s="18"/>
    </row>
    <row r="246" spans="1:4" x14ac:dyDescent="0.3">
      <c r="A246" s="20">
        <v>2</v>
      </c>
      <c r="B246" s="21">
        <f t="shared" ca="1" si="3"/>
        <v>46012.017194097221</v>
      </c>
      <c r="C246" s="18"/>
      <c r="D246" s="18"/>
    </row>
    <row r="247" spans="1:4" x14ac:dyDescent="0.3">
      <c r="A247" s="20">
        <v>3</v>
      </c>
      <c r="B247" s="21">
        <f t="shared" ca="1" si="3"/>
        <v>46012.017194097221</v>
      </c>
      <c r="C247" s="18"/>
      <c r="D247" s="18"/>
    </row>
    <row r="248" spans="1:4" x14ac:dyDescent="0.3">
      <c r="A248" s="20">
        <v>1</v>
      </c>
      <c r="B248" s="21">
        <f t="shared" ca="1" si="3"/>
        <v>46012.017194097221</v>
      </c>
      <c r="C248" s="18"/>
      <c r="D248" s="18"/>
    </row>
    <row r="249" spans="1:4" x14ac:dyDescent="0.3">
      <c r="A249" s="20">
        <v>2</v>
      </c>
      <c r="B249" s="21">
        <f t="shared" ca="1" si="3"/>
        <v>46012.017194097221</v>
      </c>
      <c r="C249" s="18"/>
      <c r="D249" s="18"/>
    </row>
    <row r="250" spans="1:4" x14ac:dyDescent="0.3">
      <c r="A250" s="20">
        <v>1</v>
      </c>
      <c r="B250" s="21">
        <f t="shared" ca="1" si="3"/>
        <v>46012.017194097221</v>
      </c>
      <c r="C250" s="18"/>
      <c r="D250" s="18"/>
    </row>
    <row r="251" spans="1:4" x14ac:dyDescent="0.3">
      <c r="A251" s="20">
        <v>2</v>
      </c>
      <c r="B251" s="21">
        <f t="shared" ca="1" si="3"/>
        <v>46012.017194097221</v>
      </c>
      <c r="C251" s="18"/>
      <c r="D251" s="1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98274-99F1-4B52-8735-F80BA63D08D3}">
  <dimension ref="A1:F51"/>
  <sheetViews>
    <sheetView workbookViewId="0">
      <selection activeCell="D3" sqref="D3:F7"/>
    </sheetView>
  </sheetViews>
  <sheetFormatPr defaultRowHeight="14.4" x14ac:dyDescent="0.3"/>
  <cols>
    <col min="1" max="1" width="14.6640625" customWidth="1"/>
    <col min="2" max="2" width="11.88671875" customWidth="1"/>
    <col min="5" max="5" width="13.109375" customWidth="1"/>
    <col min="6" max="7" width="14.33203125" customWidth="1"/>
  </cols>
  <sheetData>
    <row r="1" spans="1:6" x14ac:dyDescent="0.3">
      <c r="A1" s="35" t="s">
        <v>472</v>
      </c>
      <c r="B1" s="35" t="s">
        <v>38</v>
      </c>
    </row>
    <row r="2" spans="1:6" x14ac:dyDescent="0.3">
      <c r="A2" s="25" t="str" cm="1">
        <f t="array" ref="A2:A51">_xlfn.UNIQUE(Final_Project_Dataset!D2:D251)</f>
        <v>Paul Baker</v>
      </c>
      <c r="B2" s="25" cm="1">
        <f t="array" ref="B2:B51">SUMIF(Final_Project_Dataset!D2:D251,_xlfn.ANCHORARRAY(A2),Final_Project_Dataset!N2:N251)</f>
        <v>8309.739999999998</v>
      </c>
      <c r="D2" s="35" t="s">
        <v>473</v>
      </c>
      <c r="E2" s="35" t="s">
        <v>474</v>
      </c>
      <c r="F2" s="35" t="s">
        <v>28</v>
      </c>
    </row>
    <row r="3" spans="1:6" x14ac:dyDescent="0.3">
      <c r="A3" s="25" t="str">
        <v>Joseph Jackson</v>
      </c>
      <c r="B3" s="25">
        <v>6949.84</v>
      </c>
      <c r="D3" s="25">
        <v>1</v>
      </c>
      <c r="E3" s="25">
        <f>LARGE(A2:B51,D3)</f>
        <v>15659.65</v>
      </c>
      <c r="F3" s="25" t="str">
        <f>INDEX(A2:B51,MATCH(E3,B2:B51,0),1)</f>
        <v>Mark Carter</v>
      </c>
    </row>
    <row r="4" spans="1:6" x14ac:dyDescent="0.3">
      <c r="A4" s="25" t="str">
        <v>Kevin Scott</v>
      </c>
      <c r="B4" s="25">
        <v>3259.87</v>
      </c>
      <c r="D4" s="25">
        <v>2</v>
      </c>
      <c r="E4" s="25">
        <f t="shared" ref="E4:E7" si="0">LARGE(A3:B52,D4)</f>
        <v>11919.769999999999</v>
      </c>
      <c r="F4" s="25" t="str">
        <f t="shared" ref="F4:F7" si="1">INDEX(A3:B52,MATCH(E4,B3:B52,0),1)</f>
        <v>Edward Mitchell</v>
      </c>
    </row>
    <row r="5" spans="1:6" x14ac:dyDescent="0.3">
      <c r="A5" s="25" t="str">
        <v>Kathleen Bennett</v>
      </c>
      <c r="B5" s="25">
        <v>4309.8099999999995</v>
      </c>
      <c r="D5" s="25">
        <v>3</v>
      </c>
      <c r="E5" s="25">
        <f t="shared" si="0"/>
        <v>10649.8</v>
      </c>
      <c r="F5" s="25" t="str">
        <f t="shared" si="1"/>
        <v>Barbara Young</v>
      </c>
    </row>
    <row r="6" spans="1:6" x14ac:dyDescent="0.3">
      <c r="A6" s="25" t="str">
        <v>Michael Brown</v>
      </c>
      <c r="B6" s="25">
        <v>6169.7400000000007</v>
      </c>
      <c r="D6" s="25">
        <v>4</v>
      </c>
      <c r="E6" s="25">
        <f t="shared" si="0"/>
        <v>9799.73</v>
      </c>
      <c r="F6" s="25" t="str">
        <f t="shared" si="1"/>
        <v>Patricia Moore</v>
      </c>
    </row>
    <row r="7" spans="1:6" x14ac:dyDescent="0.3">
      <c r="A7" s="25" t="str">
        <v>Dorothy Nelson</v>
      </c>
      <c r="B7" s="25">
        <v>8269.7900000000009</v>
      </c>
      <c r="D7" s="25">
        <v>5</v>
      </c>
      <c r="E7" s="25">
        <f t="shared" si="0"/>
        <v>8269.7900000000009</v>
      </c>
      <c r="F7" s="25" t="str">
        <f t="shared" si="1"/>
        <v>Dorothy Nelson</v>
      </c>
    </row>
    <row r="8" spans="1:6" x14ac:dyDescent="0.3">
      <c r="A8" s="25" t="str">
        <v>Charles Allen</v>
      </c>
      <c r="B8" s="25">
        <v>5089.7300000000005</v>
      </c>
    </row>
    <row r="9" spans="1:6" x14ac:dyDescent="0.3">
      <c r="A9" s="25" t="str">
        <v>Robert Thomas</v>
      </c>
      <c r="B9" s="25">
        <v>3509.8999999999996</v>
      </c>
    </row>
    <row r="10" spans="1:6" x14ac:dyDescent="0.3">
      <c r="A10" s="25" t="str">
        <v>Karen Hill</v>
      </c>
      <c r="B10" s="25">
        <v>8009.7699999999995</v>
      </c>
    </row>
    <row r="11" spans="1:6" x14ac:dyDescent="0.3">
      <c r="A11" s="25" t="str">
        <v>Susan Green</v>
      </c>
      <c r="B11" s="25">
        <v>1979.89</v>
      </c>
    </row>
    <row r="12" spans="1:6" x14ac:dyDescent="0.3">
      <c r="A12" s="25" t="str">
        <v>Peter Richardson</v>
      </c>
      <c r="B12" s="25">
        <v>5949.85</v>
      </c>
    </row>
    <row r="13" spans="1:6" x14ac:dyDescent="0.3">
      <c r="A13" s="25" t="str">
        <v>Dennis Gray</v>
      </c>
      <c r="B13" s="25">
        <v>479.91999999999996</v>
      </c>
    </row>
    <row r="14" spans="1:6" x14ac:dyDescent="0.3">
      <c r="A14" s="25" t="str">
        <v>Michelle Rogers</v>
      </c>
      <c r="B14" s="25">
        <v>4199.9399999999996</v>
      </c>
    </row>
    <row r="15" spans="1:6" x14ac:dyDescent="0.3">
      <c r="A15" s="25" t="str">
        <v>George Adams</v>
      </c>
      <c r="B15" s="25">
        <v>3779.93</v>
      </c>
    </row>
    <row r="16" spans="1:6" x14ac:dyDescent="0.3">
      <c r="A16" s="25" t="str">
        <v>Mark Carter</v>
      </c>
      <c r="B16" s="25">
        <v>15659.65</v>
      </c>
    </row>
    <row r="17" spans="1:2" x14ac:dyDescent="0.3">
      <c r="A17" s="25" t="str">
        <v>Maria Garcia</v>
      </c>
      <c r="B17" s="25">
        <v>1909.93</v>
      </c>
    </row>
    <row r="18" spans="1:2" x14ac:dyDescent="0.3">
      <c r="A18" s="25" t="str">
        <v>Virginia Sanders</v>
      </c>
      <c r="B18" s="25">
        <v>4789.7900000000009</v>
      </c>
    </row>
    <row r="19" spans="1:2" x14ac:dyDescent="0.3">
      <c r="A19" s="25" t="str">
        <v>Barbara Young</v>
      </c>
      <c r="B19" s="25">
        <v>10649.8</v>
      </c>
    </row>
    <row r="20" spans="1:2" x14ac:dyDescent="0.3">
      <c r="A20" s="25" t="str">
        <v>Patricia Moore</v>
      </c>
      <c r="B20" s="25">
        <v>9799.73</v>
      </c>
    </row>
    <row r="21" spans="1:2" x14ac:dyDescent="0.3">
      <c r="A21" s="25" t="str">
        <v>Cynthia Price</v>
      </c>
      <c r="B21" s="25">
        <v>3769.8300000000004</v>
      </c>
    </row>
    <row r="22" spans="1:2" x14ac:dyDescent="0.3">
      <c r="A22" s="25" t="str">
        <v>Nancy Collins</v>
      </c>
      <c r="B22" s="25">
        <v>4189.7700000000004</v>
      </c>
    </row>
    <row r="23" spans="1:2" x14ac:dyDescent="0.3">
      <c r="A23" s="25" t="str">
        <v>Linda Martin</v>
      </c>
      <c r="B23" s="25">
        <v>1289.9000000000001</v>
      </c>
    </row>
    <row r="24" spans="1:2" x14ac:dyDescent="0.3">
      <c r="A24" s="25" t="str">
        <v>Helen Roberts</v>
      </c>
      <c r="B24" s="25">
        <v>6459.79</v>
      </c>
    </row>
    <row r="25" spans="1:2" x14ac:dyDescent="0.3">
      <c r="A25" s="25" t="str">
        <v>Edward Mitchell</v>
      </c>
      <c r="B25" s="25">
        <v>11919.769999999999</v>
      </c>
    </row>
    <row r="26" spans="1:2" x14ac:dyDescent="0.3">
      <c r="A26" s="25" t="str">
        <v>Lisa Anderson</v>
      </c>
      <c r="B26" s="25">
        <v>2039.8000000000002</v>
      </c>
    </row>
    <row r="27" spans="1:2" x14ac:dyDescent="0.3">
      <c r="A27" s="25" t="str">
        <v>Emma Wilson</v>
      </c>
      <c r="B27" s="25">
        <v>1229.8800000000001</v>
      </c>
    </row>
    <row r="28" spans="1:2" x14ac:dyDescent="0.3">
      <c r="A28" s="25" t="str">
        <v>Steven Turner</v>
      </c>
      <c r="B28" s="25">
        <v>2649.83</v>
      </c>
    </row>
    <row r="29" spans="1:2" x14ac:dyDescent="0.3">
      <c r="A29" s="25" t="str">
        <v>Jennifer Taylor</v>
      </c>
      <c r="B29" s="25">
        <v>4739.8500000000004</v>
      </c>
    </row>
    <row r="30" spans="1:2" x14ac:dyDescent="0.3">
      <c r="A30" s="25" t="str">
        <v>Harry Morgan</v>
      </c>
      <c r="B30" s="25">
        <v>5519.8899999999994</v>
      </c>
    </row>
    <row r="31" spans="1:2" x14ac:dyDescent="0.3">
      <c r="A31" s="25" t="str">
        <v>Daniel King</v>
      </c>
      <c r="B31" s="25">
        <v>7309.7999999999993</v>
      </c>
    </row>
    <row r="32" spans="1:2" x14ac:dyDescent="0.3">
      <c r="A32" s="25" t="str">
        <v>Sharon Butler</v>
      </c>
      <c r="B32" s="25">
        <v>5619.869999999999</v>
      </c>
    </row>
    <row r="33" spans="1:2" x14ac:dyDescent="0.3">
      <c r="A33" s="25" t="str">
        <v>Sarah Davis</v>
      </c>
      <c r="B33" s="25">
        <v>5499.8099999999995</v>
      </c>
    </row>
    <row r="34" spans="1:2" x14ac:dyDescent="0.3">
      <c r="A34" s="25" t="str">
        <v>Betty Campbell</v>
      </c>
      <c r="B34" s="25">
        <v>5649.84</v>
      </c>
    </row>
    <row r="35" spans="1:2" x14ac:dyDescent="0.3">
      <c r="A35" s="25" t="str">
        <v>Julie Foster</v>
      </c>
      <c r="B35" s="25">
        <v>239.96</v>
      </c>
    </row>
    <row r="36" spans="1:2" x14ac:dyDescent="0.3">
      <c r="A36" s="25" t="str">
        <v>Raymond Ross</v>
      </c>
      <c r="B36" s="25">
        <v>3669.8500000000004</v>
      </c>
    </row>
    <row r="37" spans="1:2" x14ac:dyDescent="0.3">
      <c r="A37" s="25" t="str">
        <v>David Martinez</v>
      </c>
      <c r="B37" s="25">
        <v>1809.84</v>
      </c>
    </row>
    <row r="38" spans="1:2" x14ac:dyDescent="0.3">
      <c r="A38" s="25" t="str">
        <v>Margaret Wright</v>
      </c>
      <c r="B38" s="25">
        <v>2099.88</v>
      </c>
    </row>
    <row r="39" spans="1:2" x14ac:dyDescent="0.3">
      <c r="A39" s="25" t="str">
        <v>Frank Torres</v>
      </c>
      <c r="B39" s="25">
        <v>1479.91</v>
      </c>
    </row>
    <row r="40" spans="1:2" x14ac:dyDescent="0.3">
      <c r="A40" s="25" t="str">
        <v>Gerald Murphy</v>
      </c>
      <c r="B40" s="25">
        <v>6379.87</v>
      </c>
    </row>
    <row r="41" spans="1:2" x14ac:dyDescent="0.3">
      <c r="A41" s="25" t="str">
        <v>Elizabeth Hall</v>
      </c>
      <c r="B41" s="25">
        <v>3649.8599999999997</v>
      </c>
    </row>
    <row r="42" spans="1:2" x14ac:dyDescent="0.3">
      <c r="A42" s="25" t="str">
        <v>Lawrence Reed</v>
      </c>
      <c r="B42" s="25">
        <v>6989.7699999999986</v>
      </c>
    </row>
    <row r="43" spans="1:2" x14ac:dyDescent="0.3">
      <c r="A43" s="25" t="str">
        <v>Carol Evans</v>
      </c>
      <c r="B43" s="25">
        <v>1149.93</v>
      </c>
    </row>
    <row r="44" spans="1:2" x14ac:dyDescent="0.3">
      <c r="A44" s="25" t="str">
        <v>Sandra Phillips</v>
      </c>
      <c r="B44" s="25">
        <v>6349.83</v>
      </c>
    </row>
    <row r="45" spans="1:2" x14ac:dyDescent="0.3">
      <c r="A45" s="25" t="str">
        <v>Ruth Brooks</v>
      </c>
      <c r="B45" s="25">
        <v>1749.92</v>
      </c>
    </row>
    <row r="46" spans="1:2" x14ac:dyDescent="0.3">
      <c r="A46" s="25" t="str">
        <v>William White</v>
      </c>
      <c r="B46" s="25">
        <v>4749.91</v>
      </c>
    </row>
    <row r="47" spans="1:2" x14ac:dyDescent="0.3">
      <c r="A47" s="25" t="str">
        <v>Richard Lee</v>
      </c>
      <c r="B47" s="25">
        <v>739.93000000000006</v>
      </c>
    </row>
    <row r="48" spans="1:2" x14ac:dyDescent="0.3">
      <c r="A48" s="25" t="str">
        <v>Douglas Watson</v>
      </c>
      <c r="B48" s="25">
        <v>4829.8899999999994</v>
      </c>
    </row>
    <row r="49" spans="1:2" x14ac:dyDescent="0.3">
      <c r="A49" s="25" t="str">
        <v>James Johnson</v>
      </c>
      <c r="B49" s="25">
        <v>179.97</v>
      </c>
    </row>
    <row r="50" spans="1:2" x14ac:dyDescent="0.3">
      <c r="A50" s="25" t="str">
        <v>Arthur Edwards</v>
      </c>
      <c r="B50" s="25">
        <v>1559.94</v>
      </c>
    </row>
    <row r="51" spans="1:2" x14ac:dyDescent="0.3">
      <c r="A51" s="25" t="str">
        <v>John Smith</v>
      </c>
      <c r="B51" s="25">
        <v>599.96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B2EF3-241E-4F11-8AA8-B21797E4F8C4}">
  <dimension ref="A3:B9"/>
  <sheetViews>
    <sheetView workbookViewId="0">
      <selection activeCell="N7" sqref="N7"/>
    </sheetView>
  </sheetViews>
  <sheetFormatPr defaultRowHeight="14.4" x14ac:dyDescent="0.3"/>
  <cols>
    <col min="1" max="1" width="13.77734375" bestFit="1" customWidth="1"/>
    <col min="2" max="2" width="18.5546875" bestFit="1" customWidth="1"/>
  </cols>
  <sheetData>
    <row r="3" spans="1:2" x14ac:dyDescent="0.3">
      <c r="A3" s="39" t="s">
        <v>470</v>
      </c>
      <c r="B3" t="s">
        <v>471</v>
      </c>
    </row>
    <row r="4" spans="1:2" x14ac:dyDescent="0.3">
      <c r="A4" s="40" t="s">
        <v>101</v>
      </c>
      <c r="B4" s="41">
        <v>10649.8</v>
      </c>
    </row>
    <row r="5" spans="1:2" x14ac:dyDescent="0.3">
      <c r="A5" s="40" t="s">
        <v>119</v>
      </c>
      <c r="B5" s="41">
        <v>11919.769999999999</v>
      </c>
    </row>
    <row r="6" spans="1:2" x14ac:dyDescent="0.3">
      <c r="A6" s="40" t="s">
        <v>95</v>
      </c>
      <c r="B6" s="41">
        <v>15659.65</v>
      </c>
    </row>
    <row r="7" spans="1:2" x14ac:dyDescent="0.3">
      <c r="A7" s="40" t="s">
        <v>103</v>
      </c>
      <c r="B7" s="41">
        <v>9799.73</v>
      </c>
    </row>
    <row r="8" spans="1:2" x14ac:dyDescent="0.3">
      <c r="A8" s="40" t="s">
        <v>40</v>
      </c>
      <c r="B8" s="41">
        <v>8309.739999999998</v>
      </c>
    </row>
    <row r="9" spans="1:2" x14ac:dyDescent="0.3">
      <c r="A9" s="40" t="s">
        <v>429</v>
      </c>
      <c r="B9" s="41">
        <v>56338.689999999995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488E1-8E4A-4E4E-A7D3-CECAA6E61C1C}">
  <dimension ref="A3:B7"/>
  <sheetViews>
    <sheetView workbookViewId="0">
      <selection activeCell="L6" sqref="L6"/>
    </sheetView>
  </sheetViews>
  <sheetFormatPr defaultRowHeight="14.4" x14ac:dyDescent="0.3"/>
  <cols>
    <col min="1" max="1" width="12.44140625" bestFit="1" customWidth="1"/>
    <col min="2" max="2" width="15.6640625" bestFit="1" customWidth="1"/>
  </cols>
  <sheetData>
    <row r="3" spans="1:2" x14ac:dyDescent="0.3">
      <c r="A3" s="39" t="s">
        <v>470</v>
      </c>
      <c r="B3" t="s">
        <v>475</v>
      </c>
    </row>
    <row r="4" spans="1:2" x14ac:dyDescent="0.3">
      <c r="A4" s="40" t="s">
        <v>55</v>
      </c>
      <c r="B4" s="41">
        <v>2859.5699999999974</v>
      </c>
    </row>
    <row r="5" spans="1:2" x14ac:dyDescent="0.3">
      <c r="A5" s="40" t="s">
        <v>43</v>
      </c>
      <c r="B5" s="41">
        <v>55258.689999999959</v>
      </c>
    </row>
    <row r="6" spans="1:2" x14ac:dyDescent="0.3">
      <c r="A6" s="40" t="s">
        <v>66</v>
      </c>
      <c r="B6" s="41">
        <v>16049.239999999987</v>
      </c>
    </row>
    <row r="7" spans="1:2" x14ac:dyDescent="0.3">
      <c r="A7" s="40" t="s">
        <v>429</v>
      </c>
      <c r="B7" s="41">
        <v>74167.499999999942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9ACD5-E469-4133-A419-92136D2EEF51}">
  <dimension ref="A3:B14"/>
  <sheetViews>
    <sheetView workbookViewId="0">
      <selection activeCell="M25" sqref="M25"/>
    </sheetView>
  </sheetViews>
  <sheetFormatPr defaultRowHeight="14.4" x14ac:dyDescent="0.3"/>
  <cols>
    <col min="1" max="1" width="12.44140625" bestFit="1" customWidth="1"/>
    <col min="2" max="2" width="14.21875" bestFit="1" customWidth="1"/>
  </cols>
  <sheetData>
    <row r="3" spans="1:2" x14ac:dyDescent="0.3">
      <c r="A3" s="39" t="s">
        <v>470</v>
      </c>
      <c r="B3" t="s">
        <v>476</v>
      </c>
    </row>
    <row r="4" spans="1:2" x14ac:dyDescent="0.3">
      <c r="A4" s="40" t="s">
        <v>54</v>
      </c>
      <c r="B4" s="41">
        <v>87</v>
      </c>
    </row>
    <row r="5" spans="1:2" x14ac:dyDescent="0.3">
      <c r="A5" s="40" t="s">
        <v>65</v>
      </c>
      <c r="B5" s="41">
        <v>102</v>
      </c>
    </row>
    <row r="6" spans="1:2" x14ac:dyDescent="0.3">
      <c r="A6" s="40" t="s">
        <v>113</v>
      </c>
      <c r="B6" s="41">
        <v>39</v>
      </c>
    </row>
    <row r="7" spans="1:2" x14ac:dyDescent="0.3">
      <c r="A7" s="40" t="s">
        <v>107</v>
      </c>
      <c r="B7" s="41">
        <v>78</v>
      </c>
    </row>
    <row r="8" spans="1:2" x14ac:dyDescent="0.3">
      <c r="A8" s="40" t="s">
        <v>71</v>
      </c>
      <c r="B8" s="41">
        <v>47</v>
      </c>
    </row>
    <row r="9" spans="1:2" x14ac:dyDescent="0.3">
      <c r="A9" s="40" t="s">
        <v>115</v>
      </c>
      <c r="B9" s="41">
        <v>89</v>
      </c>
    </row>
    <row r="10" spans="1:2" x14ac:dyDescent="0.3">
      <c r="A10" s="40" t="s">
        <v>78</v>
      </c>
      <c r="B10" s="41">
        <v>75</v>
      </c>
    </row>
    <row r="11" spans="1:2" x14ac:dyDescent="0.3">
      <c r="A11" s="40" t="s">
        <v>42</v>
      </c>
      <c r="B11" s="41">
        <v>88</v>
      </c>
    </row>
    <row r="12" spans="1:2" x14ac:dyDescent="0.3">
      <c r="A12" s="40" t="s">
        <v>121</v>
      </c>
      <c r="B12" s="41">
        <v>52</v>
      </c>
    </row>
    <row r="13" spans="1:2" x14ac:dyDescent="0.3">
      <c r="A13" s="40" t="s">
        <v>91</v>
      </c>
      <c r="B13" s="41">
        <v>96</v>
      </c>
    </row>
    <row r="14" spans="1:2" x14ac:dyDescent="0.3">
      <c r="A14" s="40" t="s">
        <v>429</v>
      </c>
      <c r="B14" s="41">
        <v>753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DDAB5-F1D3-470A-B448-6C17BC2287EA}">
  <dimension ref="A3:B8"/>
  <sheetViews>
    <sheetView workbookViewId="0">
      <selection activeCell="M17" sqref="M17"/>
    </sheetView>
  </sheetViews>
  <sheetFormatPr defaultRowHeight="14.4" x14ac:dyDescent="0.3"/>
  <cols>
    <col min="1" max="1" width="12.44140625" bestFit="1" customWidth="1"/>
    <col min="2" max="3" width="13.77734375" bestFit="1" customWidth="1"/>
  </cols>
  <sheetData>
    <row r="3" spans="1:2" x14ac:dyDescent="0.3">
      <c r="A3" s="39" t="s">
        <v>470</v>
      </c>
      <c r="B3" t="s">
        <v>481</v>
      </c>
    </row>
    <row r="4" spans="1:2" x14ac:dyDescent="0.3">
      <c r="A4" s="40" t="s">
        <v>477</v>
      </c>
      <c r="B4" s="41">
        <v>51</v>
      </c>
    </row>
    <row r="5" spans="1:2" x14ac:dyDescent="0.3">
      <c r="A5" s="40" t="s">
        <v>478</v>
      </c>
      <c r="B5" s="41">
        <v>94</v>
      </c>
    </row>
    <row r="6" spans="1:2" x14ac:dyDescent="0.3">
      <c r="A6" s="40" t="s">
        <v>479</v>
      </c>
      <c r="B6" s="41">
        <v>83</v>
      </c>
    </row>
    <row r="7" spans="1:2" x14ac:dyDescent="0.3">
      <c r="A7" s="40" t="s">
        <v>480</v>
      </c>
      <c r="B7" s="41">
        <v>22</v>
      </c>
    </row>
    <row r="8" spans="1:2" x14ac:dyDescent="0.3">
      <c r="A8" s="40" t="s">
        <v>429</v>
      </c>
      <c r="B8" s="41">
        <v>250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EDA50-A569-4E06-A904-0EF3489E08D9}">
  <dimension ref="A3:B16"/>
  <sheetViews>
    <sheetView workbookViewId="0">
      <selection activeCell="A4" sqref="A4:B15"/>
    </sheetView>
  </sheetViews>
  <sheetFormatPr defaultRowHeight="14.4" x14ac:dyDescent="0.3"/>
  <cols>
    <col min="1" max="1" width="12.44140625" bestFit="1" customWidth="1"/>
    <col min="2" max="3" width="22.77734375" bestFit="1" customWidth="1"/>
  </cols>
  <sheetData>
    <row r="3" spans="1:2" x14ac:dyDescent="0.3">
      <c r="A3" s="39" t="s">
        <v>470</v>
      </c>
      <c r="B3" t="s">
        <v>494</v>
      </c>
    </row>
    <row r="4" spans="1:2" x14ac:dyDescent="0.3">
      <c r="A4" s="40" t="s">
        <v>482</v>
      </c>
      <c r="B4" s="41">
        <v>26</v>
      </c>
    </row>
    <row r="5" spans="1:2" x14ac:dyDescent="0.3">
      <c r="A5" s="40" t="s">
        <v>483</v>
      </c>
      <c r="B5" s="41">
        <v>20</v>
      </c>
    </row>
    <row r="6" spans="1:2" x14ac:dyDescent="0.3">
      <c r="A6" s="40" t="s">
        <v>484</v>
      </c>
      <c r="B6" s="41">
        <v>19</v>
      </c>
    </row>
    <row r="7" spans="1:2" x14ac:dyDescent="0.3">
      <c r="A7" s="40" t="s">
        <v>485</v>
      </c>
      <c r="B7" s="41">
        <v>28</v>
      </c>
    </row>
    <row r="8" spans="1:2" x14ac:dyDescent="0.3">
      <c r="A8" s="40" t="s">
        <v>486</v>
      </c>
      <c r="B8" s="41">
        <v>19</v>
      </c>
    </row>
    <row r="9" spans="1:2" x14ac:dyDescent="0.3">
      <c r="A9" s="40" t="s">
        <v>487</v>
      </c>
      <c r="B9" s="41">
        <v>19</v>
      </c>
    </row>
    <row r="10" spans="1:2" x14ac:dyDescent="0.3">
      <c r="A10" s="40" t="s">
        <v>488</v>
      </c>
      <c r="B10" s="41">
        <v>24</v>
      </c>
    </row>
    <row r="11" spans="1:2" x14ac:dyDescent="0.3">
      <c r="A11" s="40" t="s">
        <v>489</v>
      </c>
      <c r="B11" s="41">
        <v>18</v>
      </c>
    </row>
    <row r="12" spans="1:2" x14ac:dyDescent="0.3">
      <c r="A12" s="40" t="s">
        <v>490</v>
      </c>
      <c r="B12" s="41">
        <v>19</v>
      </c>
    </row>
    <row r="13" spans="1:2" x14ac:dyDescent="0.3">
      <c r="A13" s="40" t="s">
        <v>491</v>
      </c>
      <c r="B13" s="41">
        <v>16</v>
      </c>
    </row>
    <row r="14" spans="1:2" x14ac:dyDescent="0.3">
      <c r="A14" s="40" t="s">
        <v>492</v>
      </c>
      <c r="B14" s="41">
        <v>17</v>
      </c>
    </row>
    <row r="15" spans="1:2" x14ac:dyDescent="0.3">
      <c r="A15" s="40" t="s">
        <v>493</v>
      </c>
      <c r="B15" s="41">
        <v>25</v>
      </c>
    </row>
    <row r="16" spans="1:2" x14ac:dyDescent="0.3">
      <c r="A16" s="40" t="s">
        <v>429</v>
      </c>
      <c r="B16" s="41">
        <v>250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Project_Instructions</vt:lpstr>
      <vt:lpstr>DASHBOARD</vt:lpstr>
      <vt:lpstr>Final_Project_Dataset</vt:lpstr>
      <vt:lpstr>sheet1</vt:lpstr>
      <vt:lpstr>linear_regression</vt:lpstr>
      <vt:lpstr>Sheet4</vt:lpstr>
      <vt:lpstr>TOP_5_CUSTOMER</vt:lpstr>
      <vt:lpstr>OBJECTIVE1</vt:lpstr>
      <vt:lpstr>OBJECTIVE2</vt:lpstr>
      <vt:lpstr>OBHECTIVE3</vt:lpstr>
      <vt:lpstr>OBJECTIVE4</vt:lpstr>
      <vt:lpstr>OBJECTIVE5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Pathan Tanaaz</dc:creator>
  <cp:lastModifiedBy>Pathan Tanaaz</cp:lastModifiedBy>
  <dcterms:created xsi:type="dcterms:W3CDTF">2025-12-20T13:37:28Z</dcterms:created>
  <dcterms:modified xsi:type="dcterms:W3CDTF">2025-12-20T18:54:47Z</dcterms:modified>
</cp:coreProperties>
</file>